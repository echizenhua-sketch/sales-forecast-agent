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811" activeTab="2"/>
  </bookViews>
  <sheets>
    <sheet name="对话问题" sheetId="126" r:id="rId1"/>
    <sheet name="预测及排期汇总表" sheetId="125" r:id="rId2"/>
    <sheet name="预测及排期明细表" sheetId="1" r:id="rId3"/>
  </sheets>
  <definedNames>
    <definedName name="___________________________________________________________1111">#REF!</definedName>
    <definedName name="__________________________________________________________1111">#REF!</definedName>
    <definedName name="_________________________________________________________1111">#REF!</definedName>
    <definedName name="________________________________________________________1111">#REF!</definedName>
    <definedName name="_______________________________________________________1111">#REF!</definedName>
    <definedName name="______________________________________________________1111">#REF!</definedName>
    <definedName name="_____________________________________________________1111">#REF!</definedName>
    <definedName name="____________________________________________________1111">#REF!</definedName>
    <definedName name="___________________________________________________1111">#REF!</definedName>
    <definedName name="__________________________________________________1111">#REF!</definedName>
    <definedName name="_________________________________________________1111">#REF!</definedName>
    <definedName name="________________________________________________1111">#REF!</definedName>
    <definedName name="_______________________________________________1111">#REF!</definedName>
    <definedName name="______________________________________________1111">#REF!</definedName>
    <definedName name="_____________________________________________1111">#REF!</definedName>
    <definedName name="____________________________________________1111">#REF!</definedName>
    <definedName name="___________________________________________1111">#REF!</definedName>
    <definedName name="__________________________________________1111">#REF!</definedName>
    <definedName name="_________________________________________1111">#REF!</definedName>
    <definedName name="________________________________________1111">#REF!</definedName>
    <definedName name="_______________________________________1111">#REF!</definedName>
    <definedName name="______________________________________1111">#REF!</definedName>
    <definedName name="_____________________________________1111">#REF!</definedName>
    <definedName name="____________________________________1111">#REF!</definedName>
    <definedName name="___________________________________1111">#REF!</definedName>
    <definedName name="__________________________________1111">#REF!</definedName>
    <definedName name="_________________________________1111">#REF!</definedName>
    <definedName name="________________________________1111">#REF!</definedName>
    <definedName name="_______________________________1111">#REF!</definedName>
    <definedName name="______________________________1111">#REF!</definedName>
    <definedName name="_____________________________1111">#REF!</definedName>
    <definedName name="____________________________1111">#REF!</definedName>
    <definedName name="___________________________1111">#REF!</definedName>
    <definedName name="__________________________1111">#REF!</definedName>
    <definedName name="_________________________1111">#REF!</definedName>
    <definedName name="________________________1111">#REF!</definedName>
    <definedName name="_______________________1111">#REF!</definedName>
    <definedName name="______________________1111">#REF!</definedName>
    <definedName name="_____________________1111">#REF!</definedName>
    <definedName name="____________________1111">#REF!</definedName>
    <definedName name="___________________1111">#REF!</definedName>
    <definedName name="__________________1111">#REF!</definedName>
    <definedName name="_________________1111">#REF!</definedName>
    <definedName name="________________1111">#REF!</definedName>
    <definedName name="_______________1111">#REF!</definedName>
    <definedName name="______________1111">#REF!</definedName>
    <definedName name="_____________1111">#REF!</definedName>
    <definedName name="____________1111">#REF!</definedName>
    <definedName name="___________1111">#REF!</definedName>
    <definedName name="__________1111">#REF!</definedName>
    <definedName name="_________1_1111">#REF!</definedName>
    <definedName name="_________1111">#REF!</definedName>
    <definedName name="________1_1111">#REF!</definedName>
    <definedName name="________1111">#REF!</definedName>
    <definedName name="_______1_1111">#REF!</definedName>
    <definedName name="_______1111">#REF!</definedName>
    <definedName name="______1_1111">#REF!</definedName>
    <definedName name="______1111">#REF!</definedName>
    <definedName name="______2_1111">#REF!</definedName>
    <definedName name="_____1_1111">#REF!</definedName>
    <definedName name="_____1111">#REF!</definedName>
    <definedName name="_____2_1111">#REF!</definedName>
    <definedName name="____1_1111">#REF!</definedName>
    <definedName name="____1111">#REF!</definedName>
    <definedName name="____2_1111">#REF!</definedName>
    <definedName name="____3_1111">#REF!</definedName>
    <definedName name="___1_1111">#REF!</definedName>
    <definedName name="___1111">#REF!</definedName>
    <definedName name="___2_1111">#REF!</definedName>
    <definedName name="___3_1111">#REF!</definedName>
    <definedName name="__1_1111">#REF!</definedName>
    <definedName name="__1111">#REF!</definedName>
    <definedName name="__2_1111">#REF!</definedName>
    <definedName name="__3_1111">#REF!</definedName>
    <definedName name="_1">#REF!</definedName>
    <definedName name="_1_1111">#REF!</definedName>
    <definedName name="_1111">#REF!</definedName>
    <definedName name="_123">#REF!</definedName>
    <definedName name="_1234">#REF!</definedName>
    <definedName name="_2_1111">#REF!</definedName>
    <definedName name="_3_1111">#REF!</definedName>
    <definedName name="_4_1111">#REF!</definedName>
    <definedName name="_5">#REF!</definedName>
    <definedName name="_5_1111">#REF!</definedName>
    <definedName name="_6_1111">#REF!</definedName>
    <definedName name="_7_1111">#REF!</definedName>
    <definedName name="_A4">#REF!</definedName>
    <definedName name="_xlnm._FilterDatabase" localSheetId="2" hidden="1">预测及排期明细表!$A$1:$GA$33</definedName>
    <definedName name="—10">#REF!</definedName>
    <definedName name="——111">#REF!</definedName>
    <definedName name="——22">#REF!</definedName>
    <definedName name="——32">#REF!</definedName>
    <definedName name="——87">#REF!</definedName>
    <definedName name="A">#REF!</definedName>
    <definedName name="A_">#REF!</definedName>
    <definedName name="aa">#REF!</definedName>
    <definedName name="aaa">#REF!</definedName>
    <definedName name="abc">#REF!</definedName>
    <definedName name="ADASD">#REF!</definedName>
    <definedName name="adfb">#REF!</definedName>
    <definedName name="adfegb">#REF!</definedName>
    <definedName name="adweg">#REF!</definedName>
    <definedName name="aqw">#REF!</definedName>
    <definedName name="aqws">#REF!</definedName>
    <definedName name="asas">#REF!</definedName>
    <definedName name="asd">#REF!</definedName>
    <definedName name="asdf">#REF!</definedName>
    <definedName name="asz">#REF!</definedName>
    <definedName name="B">#REF!</definedName>
    <definedName name="—b">#REF!</definedName>
    <definedName name="BB">#REF!</definedName>
    <definedName name="bgn">#REF!</definedName>
    <definedName name="cxx">#REF!</definedName>
    <definedName name="czxv">#REF!</definedName>
    <definedName name="d">#REF!</definedName>
    <definedName name="daf">#REF!</definedName>
    <definedName name="das">#REF!</definedName>
    <definedName name="df">#REF!</definedName>
    <definedName name="dfg">#REF!</definedName>
    <definedName name="dfghr">#REF!</definedName>
    <definedName name="dfsv">#REF!</definedName>
    <definedName name="dr">#REF!</definedName>
    <definedName name="ega">#REF!</definedName>
    <definedName name="egth">#REF!</definedName>
    <definedName name="er2w">#REF!</definedName>
    <definedName name="ergas">#REF!</definedName>
    <definedName name="ergds">#REF!</definedName>
    <definedName name="erweret">#REF!</definedName>
    <definedName name="etwretxsdf">#REF!</definedName>
    <definedName name="ew">#REF!</definedName>
    <definedName name="ewef">#REF!</definedName>
    <definedName name="ewrwet">#REF!</definedName>
    <definedName name="f">#REF!</definedName>
    <definedName name="——f">#REF!</definedName>
    <definedName name="fbrgfb">#REF!</definedName>
    <definedName name="fgndf">#REF!</definedName>
    <definedName name="fhg">#REF!</definedName>
    <definedName name="fjyoi">#REF!</definedName>
    <definedName name="ftrsgraterafd">#REF!</definedName>
    <definedName name="FWEFTERT">#REF!</definedName>
    <definedName name="g">#REF!</definedName>
    <definedName name="ghjk">#REF!</definedName>
    <definedName name="gnfgn">#REF!</definedName>
    <definedName name="greg">#REF!</definedName>
    <definedName name="hao">#REF!</definedName>
    <definedName name="hlk">#REF!</definedName>
    <definedName name="ilovenizuq">#REF!</definedName>
    <definedName name="jop">#REF!</definedName>
    <definedName name="jyjt">#REF!</definedName>
    <definedName name="k">#REF!</definedName>
    <definedName name="l1232409764">#REF!</definedName>
    <definedName name="NA">#REF!</definedName>
    <definedName name="niu">#REF!</definedName>
    <definedName name="niuzhiquangjai">#REF!</definedName>
    <definedName name="ppo">#REF!</definedName>
    <definedName name="qe">#REF!</definedName>
    <definedName name="qq">#REF!</definedName>
    <definedName name="qsaxc">#REF!</definedName>
    <definedName name="qwe">#REF!</definedName>
    <definedName name="rs">#REF!</definedName>
    <definedName name="rstre">#REF!</definedName>
    <definedName name="rtertghr">#REF!</definedName>
    <definedName name="s">#REF!</definedName>
    <definedName name="sdg">#REF!</definedName>
    <definedName name="sferrtatrg">#REF!</definedName>
    <definedName name="sfgbvfb">#REF!</definedName>
    <definedName name="sge">#REF!</definedName>
    <definedName name="vbfbg">#REF!</definedName>
    <definedName name="vbmn">#REF!</definedName>
    <definedName name="w">#REF!</definedName>
    <definedName name="yjyhn">#REF!</definedName>
    <definedName name="ytgdmnui">#REF!</definedName>
    <definedName name="ytjdsfb">#REF!</definedName>
    <definedName name="zzsx">#REF!</definedName>
    <definedName name="啊">#REF!</definedName>
    <definedName name="按时打算的">#REF!</definedName>
    <definedName name="扒">#REF!</definedName>
    <definedName name="冲">#REF!</definedName>
    <definedName name="错误">#REF!</definedName>
    <definedName name="发生地方">#REF!</definedName>
    <definedName name="房改房国难财gh">#REF!</definedName>
    <definedName name="辅料1">#REF!</definedName>
    <definedName name="哈哈">#REF!</definedName>
    <definedName name="呵呵">#REF!</definedName>
    <definedName name="拉力">#REF!</definedName>
    <definedName name="撒">#REF!</definedName>
    <definedName name="商店">#REF!</definedName>
    <definedName name="宋体">#REF!</definedName>
    <definedName name="随碟附送">#REF!</definedName>
    <definedName name="土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<sst xmlns="http://schemas.openxmlformats.org/spreadsheetml/2006/main" count="319" uniqueCount="129">
  <si>
    <t>此页面为AI输出，主要是通过数据输出总结分析，以下为基础需求，可进阶</t>
  </si>
  <si>
    <t>1、</t>
  </si>
  <si>
    <t>有多少SKU没有按需求满足，未满足金额有多少？具体是哪些SKU</t>
  </si>
  <si>
    <t>2、</t>
  </si>
  <si>
    <t>有多少SKU实际满足比需求多，超出金额有多少？具体是哪些SKU</t>
  </si>
  <si>
    <t>3、</t>
  </si>
  <si>
    <t>KA部的需求有多少没有按时间满足，未满足金额有多少？具体是哪些SKU</t>
  </si>
  <si>
    <t>呈现类别</t>
  </si>
  <si>
    <t>产品系列</t>
  </si>
  <si>
    <t>省大区</t>
  </si>
  <si>
    <t>网络经销商</t>
  </si>
  <si>
    <t>电商直营</t>
  </si>
  <si>
    <t>KA部</t>
  </si>
  <si>
    <t>拓展部</t>
  </si>
  <si>
    <t>5月总体</t>
  </si>
  <si>
    <t>预测</t>
  </si>
  <si>
    <t>实际可满足</t>
  </si>
  <si>
    <t>未满足</t>
  </si>
  <si>
    <t>5月预测</t>
  </si>
  <si>
    <t>5月实际可满足</t>
  </si>
  <si>
    <t>5月预测未满足</t>
  </si>
  <si>
    <t>KA-5月25日前可满足（含25日）</t>
  </si>
  <si>
    <t>按项目呈现</t>
  </si>
  <si>
    <t>ODM量子战队3</t>
  </si>
  <si>
    <t>量子战队3</t>
  </si>
  <si>
    <t>陀螺7</t>
  </si>
  <si>
    <t>飞侠9</t>
  </si>
  <si>
    <t>四驱车</t>
  </si>
  <si>
    <t>合计</t>
  </si>
  <si>
    <t>按属性呈现</t>
  </si>
  <si>
    <t>常规品</t>
  </si>
  <si>
    <t>常规品满足率</t>
  </si>
  <si>
    <t>定制品</t>
  </si>
  <si>
    <t>定制品满足率</t>
  </si>
  <si>
    <t>重点单品</t>
  </si>
  <si>
    <t>重点单品满足率</t>
  </si>
  <si>
    <t>新品</t>
  </si>
  <si>
    <t>新品满足率</t>
  </si>
  <si>
    <t>按工厂呈现</t>
  </si>
  <si>
    <t>ODM</t>
  </si>
  <si>
    <t>ODM满足率</t>
  </si>
  <si>
    <t>后台</t>
  </si>
  <si>
    <t>后台满足率</t>
  </si>
  <si>
    <t>备注：
1.此表单位为金额-万元
2.金额=只数*出厂价/10000
3.满足率=满足金额/预测金额</t>
  </si>
  <si>
    <t>事业部</t>
  </si>
  <si>
    <t>生产工厂</t>
  </si>
  <si>
    <t>属性</t>
  </si>
  <si>
    <t>型号</t>
  </si>
  <si>
    <t>产品描述</t>
  </si>
  <si>
    <t>产品类别</t>
  </si>
  <si>
    <t>出厂价</t>
  </si>
  <si>
    <t>上市日期</t>
  </si>
  <si>
    <t>4.30日库存</t>
  </si>
  <si>
    <t>5月排产
（4.30-5.29）</t>
  </si>
  <si>
    <t>5月总供应</t>
  </si>
  <si>
    <t>省大区SAR</t>
  </si>
  <si>
    <t>网络经销商SAR</t>
  </si>
  <si>
    <t>电商直营SAR</t>
  </si>
  <si>
    <t>KA部SAR</t>
  </si>
  <si>
    <t>拓展部SAR</t>
  </si>
  <si>
    <t>5月SAR合计</t>
  </si>
  <si>
    <t>5月SAR差异</t>
  </si>
  <si>
    <t>可满足合计</t>
  </si>
  <si>
    <t>省大区（可满足）</t>
  </si>
  <si>
    <t>网络经销商（可满足）</t>
  </si>
  <si>
    <t>电商直营（可满足）</t>
  </si>
  <si>
    <t>KA部（可满足）</t>
  </si>
  <si>
    <t>拓展部（可满足）</t>
  </si>
  <si>
    <t>未满足合计</t>
  </si>
  <si>
    <t>省大区（未满足）</t>
  </si>
  <si>
    <t>网络经销商（未满足）</t>
  </si>
  <si>
    <t>电商直营（未满足）</t>
  </si>
  <si>
    <t>KA部（未满足）</t>
  </si>
  <si>
    <t>拓展部（未满足）</t>
  </si>
  <si>
    <t>5月第1周
（4.30-5.3）</t>
  </si>
  <si>
    <t>5月第2周
（5.4-5.10）</t>
  </si>
  <si>
    <t>5月第3周
（5.11-5.17）</t>
  </si>
  <si>
    <t>5月第4周
（5.18-5.24）</t>
  </si>
  <si>
    <t>5月第5周
（5.25-5.29）</t>
  </si>
  <si>
    <t>儿童</t>
  </si>
  <si>
    <t>闪变机甲-光辉战神X</t>
  </si>
  <si>
    <t>常规生产产品</t>
  </si>
  <si>
    <t>闪变机甲-破空战神X</t>
  </si>
  <si>
    <t>闪变合体-雷暴战神X</t>
  </si>
  <si>
    <t>闪变合体-超音战神X</t>
  </si>
  <si>
    <t>酷变双铠-闪电威</t>
  </si>
  <si>
    <t>酷变双铠-雷凤凰</t>
  </si>
  <si>
    <t>酷变双铠-不动山</t>
  </si>
  <si>
    <t>酷变双铠-凌风翼</t>
  </si>
  <si>
    <t>飓风战魂之旋力启源-战斗系列-霸霆脉冲陀螺</t>
  </si>
  <si>
    <t>飓风战魂之旋力启源-战斗系列-炽焰重机陀螺</t>
  </si>
  <si>
    <t>飓风战魂之旋力启源-战斗系列-万煞雷盾陀螺</t>
  </si>
  <si>
    <t>664114H</t>
  </si>
  <si>
    <t>飓风战魂之旋力启源-战斗系列陀螺</t>
  </si>
  <si>
    <t>国际</t>
  </si>
  <si>
    <t>790100H</t>
  </si>
  <si>
    <t>超级飞侠变变变-百变美食记（混装版）</t>
  </si>
  <si>
    <t>790110A</t>
  </si>
  <si>
    <t>超级飞侠变变变-百变乐迪可乐</t>
  </si>
  <si>
    <t>790120A</t>
  </si>
  <si>
    <t>超级飞侠变变变-百变多多薯条</t>
  </si>
  <si>
    <t>790124A</t>
  </si>
  <si>
    <t>超级飞侠变变变-百变米莉收银机</t>
  </si>
  <si>
    <t>790131A</t>
  </si>
  <si>
    <t>超级飞侠变变变-百变金小子汉堡</t>
  </si>
  <si>
    <t>790140A</t>
  </si>
  <si>
    <t>超级飞侠变变变-百变小爱雪糕</t>
  </si>
  <si>
    <t>790150A</t>
  </si>
  <si>
    <t>超级飞侠变变变-百变包警长饮料机</t>
  </si>
  <si>
    <t>790224S</t>
  </si>
  <si>
    <t>变形机器人米莉</t>
  </si>
  <si>
    <t>定制生产产品</t>
  </si>
  <si>
    <t>790230S</t>
  </si>
  <si>
    <t>变形机器人酷飞</t>
  </si>
  <si>
    <t>790237S</t>
  </si>
  <si>
    <t>变形机器人大壮</t>
  </si>
  <si>
    <t>790260S</t>
  </si>
  <si>
    <t>变形机器人胡须爷爷</t>
  </si>
  <si>
    <t>790273S</t>
  </si>
  <si>
    <t>变形机器人巴奇</t>
  </si>
  <si>
    <t>超级飞侠极速维修职业套装</t>
  </si>
  <si>
    <t xml:space="preserve">超级飞侠大世界动玩轨道-超级控制塔 </t>
  </si>
  <si>
    <t xml:space="preserve"> 超级飞侠大世界动玩轨道-超级宠物基地 </t>
  </si>
  <si>
    <t>超级飞侠大世界2合1动玩轨道畅玩套装</t>
  </si>
  <si>
    <t>超级飞侠大世界2合1动玩轨道合体套装</t>
  </si>
  <si>
    <t>战龙四驱双龙套装</t>
  </si>
  <si>
    <t>奥迪双钻四驱车惊喜盒第一弹</t>
  </si>
  <si>
    <t>616777A</t>
  </si>
  <si>
    <t>奥迪双钻四驱车惊喜盒充能改装包第一弹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</si>
</sst>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_ ;[Red]\-0\ "/>
    <numFmt numFmtId="178" formatCode="m&quot;月&quot;d&quot;日&quot;;@"/>
    <numFmt numFmtId="179" formatCode="0;[Red]0"/>
    <numFmt numFmtId="180" formatCode="m/d;@"/>
    <numFmt numFmtId="181" formatCode="0_);[Red]\(0\)"/>
    <numFmt numFmtId="182" formatCode="0&quot;.&quot;0,"/>
  </numFmts>
  <fonts count="4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4"/>
      <color theme="1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9"/>
      <color theme="1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2"/>
      <name val="新細明體"/>
      <charset val="134"/>
    </font>
    <font>
      <sz val="10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0" borderId="0"/>
    <xf numFmtId="0" fontId="0" fillId="0" borderId="0">
      <alignment vertical="center"/>
    </xf>
    <xf numFmtId="0" fontId="0" fillId="0" borderId="0"/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7" fillId="0" borderId="0">
      <alignment vertical="center"/>
    </xf>
    <xf numFmtId="0" fontId="38" fillId="7" borderId="0" applyNumberFormat="0" applyBorder="0" applyAlignment="0" applyProtection="0">
      <alignment vertical="center"/>
    </xf>
    <xf numFmtId="176" fontId="39" fillId="0" borderId="0">
      <alignment vertical="center"/>
    </xf>
    <xf numFmtId="0" fontId="0" fillId="3" borderId="4" applyNumberFormat="0" applyFont="0" applyAlignment="0" applyProtection="0">
      <alignment vertical="center"/>
    </xf>
  </cellStyleXfs>
  <cellXfs count="62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0" xfId="0" applyFont="1" applyFill="1"/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9" fontId="11" fillId="0" borderId="3" xfId="0" applyNumberFormat="1" applyFont="1" applyFill="1" applyBorder="1" applyAlignment="1">
      <alignment horizontal="center" vertical="center" wrapText="1"/>
    </xf>
    <xf numFmtId="177" fontId="12" fillId="0" borderId="3" xfId="0" applyNumberFormat="1" applyFont="1" applyFill="1" applyBorder="1" applyAlignment="1">
      <alignment horizontal="center" vertical="center" wrapText="1"/>
    </xf>
    <xf numFmtId="179" fontId="13" fillId="0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82" fontId="3" fillId="0" borderId="1" xfId="0" applyNumberFormat="1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81" fontId="10" fillId="0" borderId="1" xfId="3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Font="1"/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差_Sheet1" xfId="51"/>
    <cellStyle name="常规 10 2 2" xfId="52"/>
    <cellStyle name="常规 10 2 2 2" xfId="53"/>
    <cellStyle name="常规 11 2 3" xfId="54"/>
    <cellStyle name="常规 2" xfId="55"/>
    <cellStyle name="常规 2 2" xfId="56"/>
    <cellStyle name="常规 2 2 2" xfId="57"/>
    <cellStyle name="常规 3" xfId="58"/>
    <cellStyle name="常规 3 2" xfId="59"/>
    <cellStyle name="常规 4" xfId="60"/>
    <cellStyle name="常规 4 3" xfId="61"/>
    <cellStyle name="好_Sheet1" xfId="62"/>
    <cellStyle name="千位分隔 2 2" xfId="63"/>
    <cellStyle name="注释 2" xfId="6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5"/>
  <sheetViews>
    <sheetView workbookViewId="0">
      <selection activeCell="D26" sqref="D26"/>
    </sheetView>
  </sheetViews>
  <sheetFormatPr defaultColWidth="9" defaultRowHeight="13.5" outlineLevelRow="4" outlineLevelCol="2"/>
  <cols>
    <col min="3" max="3" width="94" customWidth="1"/>
    <col min="4" max="4" width="70" customWidth="1"/>
    <col min="5" max="7" width="20.6333333333333" customWidth="1"/>
  </cols>
  <sheetData>
    <row r="1" s="59" customFormat="1" ht="27" customHeight="1" spans="2:3">
      <c r="C1" s="60" t="s">
        <v>0</v>
      </c>
    </row>
    <row r="2" ht="27" customHeight="1" spans="2:3">
      <c r="B2" s="61" t="s">
        <v>1</v>
      </c>
      <c r="C2" s="61" t="s">
        <v>2</v>
      </c>
    </row>
    <row r="3" ht="27" customHeight="1" spans="2:3">
      <c r="B3" s="61" t="s">
        <v>3</v>
      </c>
      <c r="C3" s="61" t="s">
        <v>4</v>
      </c>
    </row>
    <row r="4" ht="27" customHeight="1" spans="2:3">
      <c r="B4" s="61" t="s">
        <v>5</v>
      </c>
      <c r="C4" s="61" t="s">
        <v>6</v>
      </c>
    </row>
    <row r="5" ht="27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24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E31" sqref="E31"/>
    </sheetView>
  </sheetViews>
  <sheetFormatPr defaultColWidth="9" defaultRowHeight="16.5"/>
  <cols>
    <col min="1" max="1" width="13.5" style="41" customWidth="1"/>
    <col min="2" max="2" width="16.6333333333333" style="41" customWidth="1"/>
    <col min="3" max="20" width="8.25" style="42" customWidth="1"/>
    <col min="21" max="21" width="17.8833333333333" style="42" customWidth="1"/>
    <col min="22" max="16384" width="9" style="41"/>
  </cols>
  <sheetData>
    <row r="1" ht="28.5" customHeight="1" spans="1:21">
      <c r="A1" s="43" t="s">
        <v>7</v>
      </c>
      <c r="B1" s="44" t="s">
        <v>8</v>
      </c>
      <c r="C1" s="43" t="s">
        <v>9</v>
      </c>
      <c r="D1" s="43"/>
      <c r="E1" s="43"/>
      <c r="F1" s="43" t="s">
        <v>10</v>
      </c>
      <c r="G1" s="43"/>
      <c r="H1" s="43"/>
      <c r="I1" s="43" t="s">
        <v>11</v>
      </c>
      <c r="J1" s="43"/>
      <c r="K1" s="43"/>
      <c r="L1" s="43" t="s">
        <v>12</v>
      </c>
      <c r="M1" s="43"/>
      <c r="N1" s="43"/>
      <c r="O1" s="43" t="s">
        <v>13</v>
      </c>
      <c r="P1" s="43"/>
      <c r="Q1" s="43"/>
      <c r="R1" s="43" t="s">
        <v>14</v>
      </c>
      <c r="S1" s="43"/>
      <c r="T1" s="43"/>
      <c r="U1" s="43" t="s">
        <v>12</v>
      </c>
    </row>
    <row r="2" s="38" customFormat="1" ht="37.5" customHeight="1" spans="1:21">
      <c r="A2" s="45"/>
      <c r="B2" s="46"/>
      <c r="C2" s="47" t="s">
        <v>15</v>
      </c>
      <c r="D2" s="47" t="s">
        <v>16</v>
      </c>
      <c r="E2" s="47" t="s">
        <v>17</v>
      </c>
      <c r="F2" s="47" t="s">
        <v>15</v>
      </c>
      <c r="G2" s="47" t="s">
        <v>16</v>
      </c>
      <c r="H2" s="47" t="s">
        <v>17</v>
      </c>
      <c r="I2" s="47" t="s">
        <v>15</v>
      </c>
      <c r="J2" s="47" t="s">
        <v>16</v>
      </c>
      <c r="K2" s="47" t="s">
        <v>17</v>
      </c>
      <c r="L2" s="47" t="s">
        <v>15</v>
      </c>
      <c r="M2" s="47" t="s">
        <v>16</v>
      </c>
      <c r="N2" s="47" t="s">
        <v>17</v>
      </c>
      <c r="O2" s="47" t="s">
        <v>15</v>
      </c>
      <c r="P2" s="47" t="s">
        <v>16</v>
      </c>
      <c r="Q2" s="47" t="s">
        <v>17</v>
      </c>
      <c r="R2" s="47" t="s">
        <v>18</v>
      </c>
      <c r="S2" s="47" t="s">
        <v>19</v>
      </c>
      <c r="T2" s="47" t="s">
        <v>20</v>
      </c>
      <c r="U2" s="48" t="s">
        <v>21</v>
      </c>
    </row>
    <row r="3" s="39" customFormat="1" ht="21.75" customHeight="1" spans="1:21">
      <c r="A3" s="49" t="s">
        <v>22</v>
      </c>
      <c r="B3" s="49" t="s">
        <v>23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="40" customFormat="1" ht="21.75" customHeight="1" spans="1:21">
      <c r="A4" s="51" t="s">
        <v>22</v>
      </c>
      <c r="B4" s="51" t="s">
        <v>24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="40" customFormat="1" ht="21.75" customHeight="1" spans="1:21">
      <c r="A5" s="51" t="s">
        <v>22</v>
      </c>
      <c r="B5" s="51" t="s">
        <v>25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</row>
    <row r="6" s="40" customFormat="1" ht="21.75" customHeight="1" spans="1:21">
      <c r="A6" s="51" t="s">
        <v>22</v>
      </c>
      <c r="B6" s="51" t="s">
        <v>26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="40" customFormat="1" ht="21.75" customHeight="1" spans="1:21">
      <c r="A7" s="51" t="s">
        <v>22</v>
      </c>
      <c r="B7" s="51" t="s">
        <v>27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</row>
    <row r="8" s="40" customFormat="1" ht="21.75" customHeight="1" spans="1:21">
      <c r="A8" s="45" t="s">
        <v>22</v>
      </c>
      <c r="B8" s="45" t="s">
        <v>28</v>
      </c>
      <c r="C8" s="53">
        <f t="shared" ref="C8:U8" si="0">SUM(C3:C7)</f>
        <v>0</v>
      </c>
      <c r="D8" s="53">
        <f t="shared" si="0"/>
        <v>0</v>
      </c>
      <c r="E8" s="53">
        <f t="shared" si="0"/>
        <v>0</v>
      </c>
      <c r="F8" s="53">
        <f t="shared" si="0"/>
        <v>0</v>
      </c>
      <c r="G8" s="53">
        <f t="shared" si="0"/>
        <v>0</v>
      </c>
      <c r="H8" s="53">
        <f t="shared" si="0"/>
        <v>0</v>
      </c>
      <c r="I8" s="53">
        <f t="shared" si="0"/>
        <v>0</v>
      </c>
      <c r="J8" s="53">
        <f t="shared" si="0"/>
        <v>0</v>
      </c>
      <c r="K8" s="53">
        <f t="shared" si="0"/>
        <v>0</v>
      </c>
      <c r="L8" s="53">
        <f t="shared" si="0"/>
        <v>0</v>
      </c>
      <c r="M8" s="53">
        <f t="shared" si="0"/>
        <v>0</v>
      </c>
      <c r="N8" s="53">
        <f t="shared" si="0"/>
        <v>0</v>
      </c>
      <c r="O8" s="53">
        <f t="shared" si="0"/>
        <v>0</v>
      </c>
      <c r="P8" s="53">
        <f t="shared" si="0"/>
        <v>0</v>
      </c>
      <c r="Q8" s="53">
        <f t="shared" si="0"/>
        <v>0</v>
      </c>
      <c r="R8" s="53">
        <f t="shared" si="0"/>
        <v>0</v>
      </c>
      <c r="S8" s="53">
        <f t="shared" si="0"/>
        <v>0</v>
      </c>
      <c r="T8" s="53">
        <f t="shared" si="0"/>
        <v>0</v>
      </c>
      <c r="U8" s="53">
        <f t="shared" si="0"/>
        <v>0</v>
      </c>
    </row>
    <row r="9" s="40" customFormat="1" ht="21.75" customHeight="1" spans="1:21">
      <c r="A9" s="45" t="s">
        <v>29</v>
      </c>
      <c r="B9" s="54" t="s">
        <v>30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</row>
    <row r="10" s="40" customFormat="1" ht="21.75" customHeight="1" spans="1:21">
      <c r="A10" s="45" t="s">
        <v>29</v>
      </c>
      <c r="B10" s="51" t="s">
        <v>31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</row>
    <row r="11" s="40" customFormat="1" ht="21.75" customHeight="1" spans="1:21">
      <c r="A11" s="45" t="s">
        <v>29</v>
      </c>
      <c r="B11" s="54" t="s">
        <v>32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1"/>
    </row>
    <row r="12" s="40" customFormat="1" ht="21.75" customHeight="1" spans="1:21">
      <c r="A12" s="45" t="s">
        <v>29</v>
      </c>
      <c r="B12" s="51" t="s">
        <v>33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1"/>
    </row>
    <row r="13" s="40" customFormat="1" ht="21.75" customHeight="1" spans="1:21">
      <c r="A13" s="45" t="s">
        <v>29</v>
      </c>
      <c r="B13" s="51" t="s">
        <v>34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1"/>
    </row>
    <row r="14" s="40" customFormat="1" ht="21.75" customHeight="1" spans="1:21">
      <c r="A14" s="45" t="s">
        <v>29</v>
      </c>
      <c r="B14" s="51" t="s">
        <v>35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1"/>
    </row>
    <row r="15" s="40" customFormat="1" ht="21.75" customHeight="1" spans="1:21">
      <c r="A15" s="45" t="s">
        <v>29</v>
      </c>
      <c r="B15" s="54" t="s">
        <v>36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="40" customFormat="1" ht="21.75" customHeight="1" spans="1:21">
      <c r="A16" s="45" t="s">
        <v>29</v>
      </c>
      <c r="B16" s="51" t="s">
        <v>37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</row>
    <row r="17" s="40" customFormat="1" ht="21.75" customHeight="1" spans="1:21">
      <c r="A17" s="45" t="s">
        <v>29</v>
      </c>
      <c r="B17" s="45" t="s">
        <v>28</v>
      </c>
      <c r="C17" s="56">
        <f>C9+C11+C13+C15</f>
        <v>0</v>
      </c>
      <c r="D17" s="56">
        <f t="shared" ref="D17:U17" si="1">D9+D11+D13+D15</f>
        <v>0</v>
      </c>
      <c r="E17" s="56">
        <f t="shared" si="1"/>
        <v>0</v>
      </c>
      <c r="F17" s="56">
        <f t="shared" si="1"/>
        <v>0</v>
      </c>
      <c r="G17" s="56">
        <f t="shared" si="1"/>
        <v>0</v>
      </c>
      <c r="H17" s="56">
        <f t="shared" si="1"/>
        <v>0</v>
      </c>
      <c r="I17" s="56">
        <f t="shared" si="1"/>
        <v>0</v>
      </c>
      <c r="J17" s="56">
        <f t="shared" si="1"/>
        <v>0</v>
      </c>
      <c r="K17" s="56">
        <f t="shared" si="1"/>
        <v>0</v>
      </c>
      <c r="L17" s="56">
        <f t="shared" si="1"/>
        <v>0</v>
      </c>
      <c r="M17" s="56">
        <f t="shared" si="1"/>
        <v>0</v>
      </c>
      <c r="N17" s="56">
        <f t="shared" si="1"/>
        <v>0</v>
      </c>
      <c r="O17" s="56">
        <f t="shared" si="1"/>
        <v>0</v>
      </c>
      <c r="P17" s="56">
        <f t="shared" si="1"/>
        <v>0</v>
      </c>
      <c r="Q17" s="56">
        <f t="shared" si="1"/>
        <v>0</v>
      </c>
      <c r="R17" s="56">
        <f t="shared" si="1"/>
        <v>0</v>
      </c>
      <c r="S17" s="56">
        <f t="shared" si="1"/>
        <v>0</v>
      </c>
      <c r="T17" s="56">
        <f t="shared" si="1"/>
        <v>0</v>
      </c>
      <c r="U17" s="56">
        <f t="shared" si="1"/>
        <v>0</v>
      </c>
    </row>
    <row r="18" s="40" customFormat="1" ht="21.75" customHeight="1" spans="1:21">
      <c r="A18" s="51" t="s">
        <v>38</v>
      </c>
      <c r="B18" s="54" t="s">
        <v>39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s="40" customFormat="1" ht="21.75" customHeight="1" spans="1:21">
      <c r="A19" s="51" t="s">
        <v>38</v>
      </c>
      <c r="B19" s="51" t="s">
        <v>40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</row>
    <row r="20" s="40" customFormat="1" ht="21.75" customHeight="1" spans="1:21">
      <c r="A20" s="51" t="s">
        <v>38</v>
      </c>
      <c r="B20" s="54" t="s">
        <v>41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1"/>
    </row>
    <row r="21" s="40" customFormat="1" ht="21.75" customHeight="1" spans="1:21">
      <c r="A21" s="51" t="s">
        <v>38</v>
      </c>
      <c r="B21" s="51" t="s">
        <v>42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1"/>
    </row>
    <row r="22" s="38" customFormat="1" ht="21.75" customHeight="1" spans="1:21">
      <c r="A22" s="45" t="s">
        <v>38</v>
      </c>
      <c r="B22" s="45" t="s">
        <v>28</v>
      </c>
      <c r="C22" s="57">
        <f>C18+C20</f>
        <v>0</v>
      </c>
      <c r="D22" s="57">
        <f t="shared" ref="D22:U22" si="2">D18+D20</f>
        <v>0</v>
      </c>
      <c r="E22" s="57">
        <f t="shared" si="2"/>
        <v>0</v>
      </c>
      <c r="F22" s="57">
        <f t="shared" si="2"/>
        <v>0</v>
      </c>
      <c r="G22" s="57">
        <f t="shared" si="2"/>
        <v>0</v>
      </c>
      <c r="H22" s="57">
        <f t="shared" si="2"/>
        <v>0</v>
      </c>
      <c r="I22" s="57">
        <f t="shared" si="2"/>
        <v>0</v>
      </c>
      <c r="J22" s="57">
        <f t="shared" si="2"/>
        <v>0</v>
      </c>
      <c r="K22" s="57">
        <f t="shared" si="2"/>
        <v>0</v>
      </c>
      <c r="L22" s="57">
        <f t="shared" si="2"/>
        <v>0</v>
      </c>
      <c r="M22" s="57">
        <f t="shared" si="2"/>
        <v>0</v>
      </c>
      <c r="N22" s="57">
        <f t="shared" si="2"/>
        <v>0</v>
      </c>
      <c r="O22" s="57">
        <f t="shared" si="2"/>
        <v>0</v>
      </c>
      <c r="P22" s="57">
        <f t="shared" si="2"/>
        <v>0</v>
      </c>
      <c r="Q22" s="57">
        <f t="shared" si="2"/>
        <v>0</v>
      </c>
      <c r="R22" s="57">
        <f t="shared" si="2"/>
        <v>0</v>
      </c>
      <c r="S22" s="57">
        <f t="shared" si="2"/>
        <v>0</v>
      </c>
      <c r="T22" s="57">
        <f t="shared" si="2"/>
        <v>0</v>
      </c>
      <c r="U22" s="57">
        <f t="shared" si="2"/>
        <v>0</v>
      </c>
    </row>
    <row r="24" ht="67" customHeight="1" spans="1:21">
      <c r="A24" s="58" t="s">
        <v>43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</row>
  </sheetData>
  <mergeCells count="9">
    <mergeCell ref="C1:E1"/>
    <mergeCell ref="F1:H1"/>
    <mergeCell ref="I1:K1"/>
    <mergeCell ref="L1:N1"/>
    <mergeCell ref="O1:Q1"/>
    <mergeCell ref="R1:T1"/>
    <mergeCell ref="A24:U24"/>
    <mergeCell ref="A1:A2"/>
    <mergeCell ref="B1:B2"/>
  </mergeCells>
  <conditionalFormatting sqref="B17">
    <cfRule type="duplicateValues" dxfId="0" priority="2"/>
  </conditionalFormatting>
  <conditionalFormatting sqref="B22">
    <cfRule type="duplicateValues" dxfId="0" priority="1"/>
  </conditionalFormatting>
  <conditionalFormatting sqref="B1 B8 B221:B1048576">
    <cfRule type="duplicateValues" dxfId="0" priority="10860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O33"/>
  <sheetViews>
    <sheetView tabSelected="1" zoomScale="85" zoomScaleNormal="85" topLeftCell="I1" workbookViewId="0">
      <selection activeCell="T13" sqref="T13"/>
    </sheetView>
  </sheetViews>
  <sheetFormatPr defaultColWidth="6.5" defaultRowHeight="16.5"/>
  <cols>
    <col min="1" max="1" width="7.38333333333333" style="3" customWidth="1" outlineLevel="1"/>
    <col min="2" max="2" width="11.5" style="4" customWidth="1" outlineLevel="1"/>
    <col min="3" max="3" width="11.1333333333333" style="4" customWidth="1"/>
    <col min="4" max="4" width="15.425" style="4" customWidth="1"/>
    <col min="5" max="5" width="8.13333333333333" style="5" customWidth="1"/>
    <col min="6" max="6" width="20.6583333333333" style="6" customWidth="1"/>
    <col min="7" max="7" width="15.95" style="6" customWidth="1"/>
    <col min="8" max="8" width="8.75" style="7" customWidth="1"/>
    <col min="9" max="9" width="10.75" style="8" customWidth="1"/>
    <col min="10" max="10" width="7.63333333333333" style="4" customWidth="1"/>
    <col min="11" max="11" width="11.1083333333333" style="4" customWidth="1"/>
    <col min="12" max="12" width="12.0166666666667" style="4" customWidth="1"/>
    <col min="13" max="13" width="10.4416666666667" style="6" customWidth="1"/>
    <col min="14" max="15" width="7.63333333333333" style="6" customWidth="1"/>
    <col min="16" max="16" width="7.63333333333333" style="9" customWidth="1"/>
    <col min="17" max="17" width="10.45" style="6" customWidth="1"/>
    <col min="18" max="18" width="11.2333333333333" style="10" customWidth="1"/>
    <col min="19" max="19" width="8.5" style="11" customWidth="1"/>
    <col min="20" max="20" width="10.9833333333333" style="12" customWidth="1" outlineLevel="1"/>
    <col min="21" max="21" width="7.38333333333333" style="7" customWidth="1" outlineLevel="1"/>
    <col min="22" max="23" width="6.75" style="7" customWidth="1" outlineLevel="1"/>
    <col min="24" max="24" width="10.1916666666667" style="7" customWidth="1" outlineLevel="1"/>
    <col min="25" max="25" width="9.275" style="7" customWidth="1" outlineLevel="1"/>
    <col min="26" max="26" width="9.66666666666667" style="7" customWidth="1" outlineLevel="1"/>
    <col min="27" max="27" width="7.88333333333333" style="7" customWidth="1" outlineLevel="1"/>
    <col min="28" max="28" width="8.75" style="7" customWidth="1"/>
    <col min="29" max="29" width="7" style="7" customWidth="1"/>
    <col min="30" max="30" width="7.88333333333333" style="7" customWidth="1"/>
    <col min="31" max="31" width="8.75" style="7" customWidth="1"/>
    <col min="32" max="32" width="9.00833333333333" style="7" customWidth="1"/>
    <col min="33" max="67" width="7.13333333333333" style="4" customWidth="1"/>
    <col min="68" max="16384" width="6.5" style="4"/>
  </cols>
  <sheetData>
    <row r="1" s="1" customFormat="1" ht="66" spans="1:67">
      <c r="A1" s="13" t="s">
        <v>44</v>
      </c>
      <c r="B1" s="13" t="s">
        <v>8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4" t="s">
        <v>50</v>
      </c>
      <c r="I1" s="15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7" t="s">
        <v>60</v>
      </c>
      <c r="S1" s="18" t="s">
        <v>61</v>
      </c>
      <c r="T1" s="17" t="s">
        <v>62</v>
      </c>
      <c r="U1" s="16" t="s">
        <v>63</v>
      </c>
      <c r="V1" s="16" t="s">
        <v>64</v>
      </c>
      <c r="W1" s="16" t="s">
        <v>65</v>
      </c>
      <c r="X1" s="16" t="s">
        <v>66</v>
      </c>
      <c r="Y1" s="16" t="s">
        <v>67</v>
      </c>
      <c r="Z1" s="16" t="s">
        <v>21</v>
      </c>
      <c r="AA1" s="19" t="s">
        <v>68</v>
      </c>
      <c r="AB1" s="16" t="s">
        <v>69</v>
      </c>
      <c r="AC1" s="16" t="s">
        <v>70</v>
      </c>
      <c r="AD1" s="16" t="s">
        <v>71</v>
      </c>
      <c r="AE1" s="16" t="s">
        <v>72</v>
      </c>
      <c r="AF1" s="16" t="s">
        <v>73</v>
      </c>
      <c r="AG1" s="20">
        <v>46142</v>
      </c>
      <c r="AH1" s="20">
        <v>46143</v>
      </c>
      <c r="AI1" s="20">
        <v>46144</v>
      </c>
      <c r="AJ1" s="20">
        <v>46145</v>
      </c>
      <c r="AK1" s="20">
        <v>46146</v>
      </c>
      <c r="AL1" s="20">
        <v>46147</v>
      </c>
      <c r="AM1" s="20">
        <v>46148</v>
      </c>
      <c r="AN1" s="20">
        <v>46149</v>
      </c>
      <c r="AO1" s="20">
        <v>46150</v>
      </c>
      <c r="AP1" s="20">
        <v>46151</v>
      </c>
      <c r="AQ1" s="20">
        <v>46152</v>
      </c>
      <c r="AR1" s="20">
        <v>46153</v>
      </c>
      <c r="AS1" s="20">
        <v>46154</v>
      </c>
      <c r="AT1" s="20">
        <v>46155</v>
      </c>
      <c r="AU1" s="20">
        <v>46156</v>
      </c>
      <c r="AV1" s="20">
        <v>46157</v>
      </c>
      <c r="AW1" s="20">
        <v>46158</v>
      </c>
      <c r="AX1" s="20">
        <v>46159</v>
      </c>
      <c r="AY1" s="20">
        <v>46160</v>
      </c>
      <c r="AZ1" s="20">
        <v>46161</v>
      </c>
      <c r="BA1" s="20">
        <v>46162</v>
      </c>
      <c r="BB1" s="20">
        <v>46163</v>
      </c>
      <c r="BC1" s="20">
        <v>46164</v>
      </c>
      <c r="BD1" s="20">
        <v>46165</v>
      </c>
      <c r="BE1" s="20">
        <v>46166</v>
      </c>
      <c r="BF1" s="20">
        <v>46167</v>
      </c>
      <c r="BG1" s="20">
        <v>46168</v>
      </c>
      <c r="BH1" s="20">
        <v>46169</v>
      </c>
      <c r="BI1" s="20">
        <v>46170</v>
      </c>
      <c r="BJ1" s="20">
        <v>46171</v>
      </c>
      <c r="BK1" s="21" t="s">
        <v>74</v>
      </c>
      <c r="BL1" s="21" t="s">
        <v>75</v>
      </c>
      <c r="BM1" s="21" t="s">
        <v>76</v>
      </c>
      <c r="BN1" s="21" t="s">
        <v>77</v>
      </c>
      <c r="BO1" s="21" t="s">
        <v>78</v>
      </c>
    </row>
    <row r="2" s="2" customFormat="1" ht="20.25" customHeight="1" spans="1:67">
      <c r="A2" s="22" t="s">
        <v>79</v>
      </c>
      <c r="B2" s="22" t="s">
        <v>24</v>
      </c>
      <c r="C2" s="22" t="s">
        <v>39</v>
      </c>
      <c r="D2" s="23" t="s">
        <v>36</v>
      </c>
      <c r="E2" s="22">
        <v>583811</v>
      </c>
      <c r="F2" s="24" t="s">
        <v>80</v>
      </c>
      <c r="G2" s="24" t="s">
        <v>81</v>
      </c>
      <c r="H2" s="25">
        <v>49.5</v>
      </c>
      <c r="I2" s="26">
        <v>46157</v>
      </c>
      <c r="J2" s="25">
        <v>0</v>
      </c>
      <c r="K2" s="25">
        <f t="shared" ref="K2:K33" si="0">SUM(AG2:BJ2)</f>
        <v>50112</v>
      </c>
      <c r="L2" s="25">
        <f>J2+K2</f>
        <v>50112</v>
      </c>
      <c r="M2" s="25">
        <v>39632</v>
      </c>
      <c r="N2" s="25">
        <v>0</v>
      </c>
      <c r="O2" s="25">
        <v>2000</v>
      </c>
      <c r="P2" s="27">
        <v>8480</v>
      </c>
      <c r="Q2" s="25">
        <v>0</v>
      </c>
      <c r="R2" s="28">
        <f t="shared" ref="R2:R9" si="1">SUM(M2:Q2)</f>
        <v>50112</v>
      </c>
      <c r="S2" s="27">
        <f t="shared" ref="S2:S33" si="2">J2+K2-R2</f>
        <v>0</v>
      </c>
      <c r="T2" s="29">
        <f t="shared" ref="T2:T33" si="3">IF(S2&gt;0,R2,R2+S2)</f>
        <v>50112</v>
      </c>
      <c r="U2" s="30">
        <f t="shared" ref="U2:U33" si="4">IF(M2=0,"0",M2/$R2*$T2)</f>
        <v>39632</v>
      </c>
      <c r="V2" s="30" t="str">
        <f t="shared" ref="V2:V33" si="5">IF(N2=0,"0",N2/$R2*$T2)</f>
        <v>0</v>
      </c>
      <c r="W2" s="30">
        <f t="shared" ref="W2:W33" si="6">IF(O2=0,"0",O2/$R2*$T2)</f>
        <v>2000</v>
      </c>
      <c r="X2" s="30">
        <f t="shared" ref="X2:X33" si="7">IF(P2=0,"0",P2/$R2*$T2)</f>
        <v>8480</v>
      </c>
      <c r="Y2" s="25" t="str">
        <f t="shared" ref="Y2:Y33" si="8">IF(Q2=0,"0",Q2/$R2*$T2)</f>
        <v>0</v>
      </c>
      <c r="Z2" s="25"/>
      <c r="AA2" s="25">
        <f>SUM(AB2:AF2)</f>
        <v>0</v>
      </c>
      <c r="AB2" s="25">
        <f t="shared" ref="AB2:AB33" si="9">U2-M2</f>
        <v>0</v>
      </c>
      <c r="AC2" s="25">
        <f t="shared" ref="AC2:AC33" si="10">V2-N2</f>
        <v>0</v>
      </c>
      <c r="AD2" s="25">
        <f t="shared" ref="AD2:AD33" si="11">W2-O2</f>
        <v>0</v>
      </c>
      <c r="AE2" s="25">
        <f t="shared" ref="AE2:AE33" si="12">X2-P2</f>
        <v>0</v>
      </c>
      <c r="AF2" s="25">
        <f t="shared" ref="AF2:AF33" si="13">Y2-Q2</f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3600</v>
      </c>
      <c r="AQ2" s="22">
        <v>0</v>
      </c>
      <c r="AR2" s="22">
        <v>5472</v>
      </c>
      <c r="AS2" s="22">
        <v>0</v>
      </c>
      <c r="AT2" s="22">
        <v>0</v>
      </c>
      <c r="AU2" s="22">
        <v>0</v>
      </c>
      <c r="AV2" s="22">
        <v>0</v>
      </c>
      <c r="AW2" s="22">
        <v>10944</v>
      </c>
      <c r="AX2" s="22">
        <v>0</v>
      </c>
      <c r="AY2" s="22">
        <v>0</v>
      </c>
      <c r="AZ2" s="22">
        <v>8208</v>
      </c>
      <c r="BA2" s="22">
        <v>0</v>
      </c>
      <c r="BB2" s="22">
        <v>0</v>
      </c>
      <c r="BC2" s="22">
        <v>5472</v>
      </c>
      <c r="BD2" s="22">
        <v>0</v>
      </c>
      <c r="BE2" s="22">
        <v>0</v>
      </c>
      <c r="BF2" s="22">
        <v>8208</v>
      </c>
      <c r="BG2" s="22">
        <v>0</v>
      </c>
      <c r="BH2" s="22">
        <v>0</v>
      </c>
      <c r="BI2" s="22">
        <v>0</v>
      </c>
      <c r="BJ2" s="22">
        <v>8208</v>
      </c>
      <c r="BK2" s="22">
        <f t="shared" ref="BK2:BK33" si="14">SUM(AG2:AJ2)</f>
        <v>0</v>
      </c>
      <c r="BL2" s="22">
        <f t="shared" ref="BL2:BL33" si="15">SUM(AK2:AQ2)</f>
        <v>3600</v>
      </c>
      <c r="BM2" s="22">
        <f t="shared" ref="BM2:BM33" si="16">SUM(AR2:AX2)</f>
        <v>16416</v>
      </c>
      <c r="BN2" s="22">
        <f t="shared" ref="BN2:BN33" si="17">SUM(AY2:BE2)</f>
        <v>13680</v>
      </c>
      <c r="BO2" s="22">
        <f t="shared" ref="BO2:BO33" si="18">SUM(BF2:BJ2)</f>
        <v>16416</v>
      </c>
    </row>
    <row r="3" s="2" customFormat="1" ht="20.25" customHeight="1" spans="1:67">
      <c r="A3" s="22" t="s">
        <v>79</v>
      </c>
      <c r="B3" s="22" t="s">
        <v>24</v>
      </c>
      <c r="C3" s="22" t="s">
        <v>39</v>
      </c>
      <c r="D3" s="23" t="s">
        <v>36</v>
      </c>
      <c r="E3" s="22">
        <v>583812</v>
      </c>
      <c r="F3" s="24" t="s">
        <v>82</v>
      </c>
      <c r="G3" s="24" t="s">
        <v>81</v>
      </c>
      <c r="H3" s="25">
        <v>49.5</v>
      </c>
      <c r="I3" s="26">
        <v>46157</v>
      </c>
      <c r="J3" s="25">
        <v>0</v>
      </c>
      <c r="K3" s="25">
        <f t="shared" si="0"/>
        <v>40116</v>
      </c>
      <c r="L3" s="25">
        <f t="shared" ref="L3:L33" si="19">J3+K3</f>
        <v>40116</v>
      </c>
      <c r="M3" s="25">
        <v>30862</v>
      </c>
      <c r="N3" s="25">
        <v>0</v>
      </c>
      <c r="O3" s="25">
        <v>2000</v>
      </c>
      <c r="P3" s="27">
        <v>7254</v>
      </c>
      <c r="Q3" s="25">
        <v>0</v>
      </c>
      <c r="R3" s="28">
        <f t="shared" si="1"/>
        <v>40116</v>
      </c>
      <c r="S3" s="27">
        <f t="shared" si="2"/>
        <v>0</v>
      </c>
      <c r="T3" s="29">
        <f t="shared" si="3"/>
        <v>40116</v>
      </c>
      <c r="U3" s="30">
        <f t="shared" si="4"/>
        <v>30862</v>
      </c>
      <c r="V3" s="30" t="str">
        <f t="shared" si="5"/>
        <v>0</v>
      </c>
      <c r="W3" s="30">
        <f t="shared" si="6"/>
        <v>2000</v>
      </c>
      <c r="X3" s="30">
        <f t="shared" si="7"/>
        <v>7254</v>
      </c>
      <c r="Y3" s="25" t="str">
        <f t="shared" si="8"/>
        <v>0</v>
      </c>
      <c r="Z3" s="25"/>
      <c r="AA3" s="25">
        <f t="shared" ref="AA3:AA33" si="20">SUM(AB3:AF3)</f>
        <v>0</v>
      </c>
      <c r="AB3" s="25">
        <f t="shared" si="9"/>
        <v>0</v>
      </c>
      <c r="AC3" s="25">
        <f t="shared" si="10"/>
        <v>0</v>
      </c>
      <c r="AD3" s="25">
        <f t="shared" si="11"/>
        <v>0</v>
      </c>
      <c r="AE3" s="25">
        <f t="shared" si="12"/>
        <v>0</v>
      </c>
      <c r="AF3" s="25">
        <f t="shared" si="13"/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3600</v>
      </c>
      <c r="AQ3" s="22">
        <v>0</v>
      </c>
      <c r="AR3" s="22">
        <v>4296</v>
      </c>
      <c r="AS3" s="22">
        <v>0</v>
      </c>
      <c r="AT3" s="22">
        <v>0</v>
      </c>
      <c r="AU3" s="22">
        <v>0</v>
      </c>
      <c r="AV3" s="22">
        <v>0</v>
      </c>
      <c r="AW3" s="22">
        <v>8592</v>
      </c>
      <c r="AX3" s="22">
        <v>0</v>
      </c>
      <c r="AY3" s="22">
        <v>0</v>
      </c>
      <c r="AZ3" s="22">
        <v>6444</v>
      </c>
      <c r="BA3" s="22">
        <v>0</v>
      </c>
      <c r="BB3" s="22">
        <v>0</v>
      </c>
      <c r="BC3" s="22">
        <v>4296</v>
      </c>
      <c r="BD3" s="22">
        <v>0</v>
      </c>
      <c r="BE3" s="22">
        <v>0</v>
      </c>
      <c r="BF3" s="22">
        <v>6444</v>
      </c>
      <c r="BG3" s="22">
        <v>0</v>
      </c>
      <c r="BH3" s="22">
        <v>0</v>
      </c>
      <c r="BI3" s="22">
        <v>0</v>
      </c>
      <c r="BJ3" s="22">
        <v>6444</v>
      </c>
      <c r="BK3" s="22">
        <f t="shared" si="14"/>
        <v>0</v>
      </c>
      <c r="BL3" s="22">
        <f t="shared" si="15"/>
        <v>3600</v>
      </c>
      <c r="BM3" s="22">
        <f t="shared" si="16"/>
        <v>12888</v>
      </c>
      <c r="BN3" s="22">
        <f t="shared" si="17"/>
        <v>10740</v>
      </c>
      <c r="BO3" s="22">
        <f t="shared" si="18"/>
        <v>12888</v>
      </c>
    </row>
    <row r="4" s="2" customFormat="1" ht="20.25" customHeight="1" spans="1:67">
      <c r="A4" s="22" t="s">
        <v>79</v>
      </c>
      <c r="B4" s="22" t="s">
        <v>24</v>
      </c>
      <c r="C4" s="22" t="s">
        <v>39</v>
      </c>
      <c r="D4" s="23" t="s">
        <v>36</v>
      </c>
      <c r="E4" s="22">
        <v>583813</v>
      </c>
      <c r="F4" s="31" t="s">
        <v>83</v>
      </c>
      <c r="G4" s="24" t="s">
        <v>81</v>
      </c>
      <c r="H4" s="25">
        <v>49.5</v>
      </c>
      <c r="I4" s="26">
        <v>46157</v>
      </c>
      <c r="J4" s="25">
        <v>0</v>
      </c>
      <c r="K4" s="25">
        <f t="shared" si="0"/>
        <v>15048</v>
      </c>
      <c r="L4" s="25">
        <f t="shared" si="19"/>
        <v>15048</v>
      </c>
      <c r="M4" s="25">
        <v>10548</v>
      </c>
      <c r="N4" s="25">
        <v>0</v>
      </c>
      <c r="O4" s="25">
        <v>1500</v>
      </c>
      <c r="P4" s="27">
        <v>3000</v>
      </c>
      <c r="Q4" s="25">
        <v>0</v>
      </c>
      <c r="R4" s="28">
        <f t="shared" si="1"/>
        <v>15048</v>
      </c>
      <c r="S4" s="27">
        <f t="shared" si="2"/>
        <v>0</v>
      </c>
      <c r="T4" s="29">
        <f t="shared" si="3"/>
        <v>15048</v>
      </c>
      <c r="U4" s="30">
        <f t="shared" si="4"/>
        <v>10548</v>
      </c>
      <c r="V4" s="30" t="str">
        <f t="shared" si="5"/>
        <v>0</v>
      </c>
      <c r="W4" s="30">
        <f t="shared" si="6"/>
        <v>1500</v>
      </c>
      <c r="X4" s="30">
        <f t="shared" si="7"/>
        <v>3000</v>
      </c>
      <c r="Y4" s="25" t="str">
        <f t="shared" si="8"/>
        <v>0</v>
      </c>
      <c r="Z4" s="25"/>
      <c r="AA4" s="25">
        <f t="shared" si="20"/>
        <v>0</v>
      </c>
      <c r="AB4" s="25">
        <f t="shared" si="9"/>
        <v>0</v>
      </c>
      <c r="AC4" s="25">
        <f t="shared" si="10"/>
        <v>0</v>
      </c>
      <c r="AD4" s="25">
        <f t="shared" si="11"/>
        <v>0</v>
      </c>
      <c r="AE4" s="25">
        <f t="shared" si="12"/>
        <v>0</v>
      </c>
      <c r="AF4" s="25">
        <f t="shared" si="13"/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2508</v>
      </c>
      <c r="AS4" s="22">
        <v>0</v>
      </c>
      <c r="AT4" s="22">
        <v>0</v>
      </c>
      <c r="AU4" s="22">
        <v>0</v>
      </c>
      <c r="AV4" s="22">
        <v>0</v>
      </c>
      <c r="AW4" s="22">
        <v>2508</v>
      </c>
      <c r="AX4" s="22">
        <v>0</v>
      </c>
      <c r="AY4" s="22">
        <v>0</v>
      </c>
      <c r="AZ4" s="22">
        <v>2508</v>
      </c>
      <c r="BA4" s="22">
        <v>0</v>
      </c>
      <c r="BB4" s="22">
        <v>0</v>
      </c>
      <c r="BC4" s="22">
        <v>2508</v>
      </c>
      <c r="BD4" s="22">
        <v>0</v>
      </c>
      <c r="BE4" s="22">
        <v>0</v>
      </c>
      <c r="BF4" s="22">
        <v>2508</v>
      </c>
      <c r="BG4" s="22">
        <v>0</v>
      </c>
      <c r="BH4" s="22">
        <v>0</v>
      </c>
      <c r="BI4" s="22">
        <v>0</v>
      </c>
      <c r="BJ4" s="22">
        <v>2508</v>
      </c>
      <c r="BK4" s="22">
        <f t="shared" si="14"/>
        <v>0</v>
      </c>
      <c r="BL4" s="22">
        <f t="shared" si="15"/>
        <v>0</v>
      </c>
      <c r="BM4" s="22">
        <f t="shared" si="16"/>
        <v>5016</v>
      </c>
      <c r="BN4" s="22">
        <f t="shared" si="17"/>
        <v>5016</v>
      </c>
      <c r="BO4" s="22">
        <f t="shared" si="18"/>
        <v>5016</v>
      </c>
    </row>
    <row r="5" s="2" customFormat="1" ht="20.25" customHeight="1" spans="1:67">
      <c r="A5" s="22" t="s">
        <v>79</v>
      </c>
      <c r="B5" s="22" t="s">
        <v>24</v>
      </c>
      <c r="C5" s="22" t="s">
        <v>39</v>
      </c>
      <c r="D5" s="23" t="s">
        <v>36</v>
      </c>
      <c r="E5" s="22">
        <v>583814</v>
      </c>
      <c r="F5" s="24" t="s">
        <v>84</v>
      </c>
      <c r="G5" s="24" t="s">
        <v>81</v>
      </c>
      <c r="H5" s="25">
        <v>49.5</v>
      </c>
      <c r="I5" s="26">
        <v>46157</v>
      </c>
      <c r="J5" s="25">
        <v>0</v>
      </c>
      <c r="K5" s="25">
        <f t="shared" si="0"/>
        <v>15048</v>
      </c>
      <c r="L5" s="25">
        <f t="shared" si="19"/>
        <v>15048</v>
      </c>
      <c r="M5" s="25">
        <v>10548</v>
      </c>
      <c r="N5" s="25">
        <v>0</v>
      </c>
      <c r="O5" s="25">
        <v>1500</v>
      </c>
      <c r="P5" s="27">
        <v>3000</v>
      </c>
      <c r="Q5" s="25">
        <v>0</v>
      </c>
      <c r="R5" s="28">
        <f t="shared" si="1"/>
        <v>15048</v>
      </c>
      <c r="S5" s="27">
        <f t="shared" si="2"/>
        <v>0</v>
      </c>
      <c r="T5" s="29">
        <f t="shared" si="3"/>
        <v>15048</v>
      </c>
      <c r="U5" s="30">
        <f t="shared" si="4"/>
        <v>10548</v>
      </c>
      <c r="V5" s="30" t="str">
        <f t="shared" si="5"/>
        <v>0</v>
      </c>
      <c r="W5" s="30">
        <f t="shared" si="6"/>
        <v>1500</v>
      </c>
      <c r="X5" s="30">
        <f t="shared" si="7"/>
        <v>3000</v>
      </c>
      <c r="Y5" s="25" t="str">
        <f t="shared" si="8"/>
        <v>0</v>
      </c>
      <c r="Z5" s="25"/>
      <c r="AA5" s="25">
        <f t="shared" si="20"/>
        <v>0</v>
      </c>
      <c r="AB5" s="25">
        <f t="shared" si="9"/>
        <v>0</v>
      </c>
      <c r="AC5" s="25">
        <f t="shared" si="10"/>
        <v>0</v>
      </c>
      <c r="AD5" s="25">
        <f t="shared" si="11"/>
        <v>0</v>
      </c>
      <c r="AE5" s="25">
        <f t="shared" si="12"/>
        <v>0</v>
      </c>
      <c r="AF5" s="25">
        <f t="shared" si="13"/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2508</v>
      </c>
      <c r="AS5" s="22">
        <v>0</v>
      </c>
      <c r="AT5" s="22">
        <v>0</v>
      </c>
      <c r="AU5" s="22">
        <v>0</v>
      </c>
      <c r="AV5" s="22">
        <v>0</v>
      </c>
      <c r="AW5" s="22">
        <v>2508</v>
      </c>
      <c r="AX5" s="22">
        <v>0</v>
      </c>
      <c r="AY5" s="22">
        <v>0</v>
      </c>
      <c r="AZ5" s="22">
        <v>2508</v>
      </c>
      <c r="BA5" s="22">
        <v>0</v>
      </c>
      <c r="BB5" s="22">
        <v>0</v>
      </c>
      <c r="BC5" s="22">
        <v>2508</v>
      </c>
      <c r="BD5" s="22">
        <v>0</v>
      </c>
      <c r="BE5" s="22">
        <v>0</v>
      </c>
      <c r="BF5" s="22">
        <v>2508</v>
      </c>
      <c r="BG5" s="22">
        <v>0</v>
      </c>
      <c r="BH5" s="22">
        <v>0</v>
      </c>
      <c r="BI5" s="22">
        <v>0</v>
      </c>
      <c r="BJ5" s="22">
        <v>2508</v>
      </c>
      <c r="BK5" s="22">
        <f t="shared" si="14"/>
        <v>0</v>
      </c>
      <c r="BL5" s="22">
        <f t="shared" si="15"/>
        <v>0</v>
      </c>
      <c r="BM5" s="22">
        <f t="shared" si="16"/>
        <v>5016</v>
      </c>
      <c r="BN5" s="22">
        <f t="shared" si="17"/>
        <v>5016</v>
      </c>
      <c r="BO5" s="22">
        <f t="shared" si="18"/>
        <v>5016</v>
      </c>
    </row>
    <row r="6" s="2" customFormat="1" ht="20.25" customHeight="1" spans="1:67">
      <c r="A6" s="22" t="s">
        <v>79</v>
      </c>
      <c r="B6" s="22" t="s">
        <v>24</v>
      </c>
      <c r="C6" s="22" t="s">
        <v>41</v>
      </c>
      <c r="D6" s="23" t="s">
        <v>36</v>
      </c>
      <c r="E6" s="22">
        <v>583821</v>
      </c>
      <c r="F6" s="24" t="s">
        <v>85</v>
      </c>
      <c r="G6" s="24" t="s">
        <v>81</v>
      </c>
      <c r="H6" s="25">
        <v>99.5</v>
      </c>
      <c r="I6" s="26">
        <v>46157</v>
      </c>
      <c r="J6" s="25">
        <v>0</v>
      </c>
      <c r="K6" s="25">
        <f t="shared" si="0"/>
        <v>12000</v>
      </c>
      <c r="L6" s="25">
        <f t="shared" si="19"/>
        <v>12000</v>
      </c>
      <c r="M6" s="25">
        <v>7480</v>
      </c>
      <c r="N6" s="25">
        <v>0</v>
      </c>
      <c r="O6" s="25">
        <v>2520</v>
      </c>
      <c r="P6" s="27">
        <v>2000</v>
      </c>
      <c r="Q6" s="25">
        <v>0</v>
      </c>
      <c r="R6" s="28">
        <f t="shared" si="1"/>
        <v>12000</v>
      </c>
      <c r="S6" s="27">
        <f t="shared" si="2"/>
        <v>0</v>
      </c>
      <c r="T6" s="29">
        <f t="shared" si="3"/>
        <v>12000</v>
      </c>
      <c r="U6" s="30">
        <f t="shared" si="4"/>
        <v>7480</v>
      </c>
      <c r="V6" s="30" t="str">
        <f t="shared" si="5"/>
        <v>0</v>
      </c>
      <c r="W6" s="30">
        <f t="shared" si="6"/>
        <v>2520</v>
      </c>
      <c r="X6" s="30">
        <f t="shared" si="7"/>
        <v>2000</v>
      </c>
      <c r="Y6" s="25" t="str">
        <f t="shared" si="8"/>
        <v>0</v>
      </c>
      <c r="Z6" s="25"/>
      <c r="AA6" s="25">
        <f t="shared" si="20"/>
        <v>0</v>
      </c>
      <c r="AB6" s="25">
        <f t="shared" si="9"/>
        <v>0</v>
      </c>
      <c r="AC6" s="25">
        <f t="shared" si="10"/>
        <v>0</v>
      </c>
      <c r="AD6" s="25">
        <f t="shared" si="11"/>
        <v>0</v>
      </c>
      <c r="AE6" s="25">
        <f t="shared" si="12"/>
        <v>0</v>
      </c>
      <c r="AF6" s="25">
        <f t="shared" si="13"/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1000</v>
      </c>
      <c r="AX6" s="22">
        <v>1000</v>
      </c>
      <c r="AY6" s="22">
        <v>0</v>
      </c>
      <c r="AZ6" s="22">
        <v>1000</v>
      </c>
      <c r="BA6" s="22">
        <v>1000</v>
      </c>
      <c r="BB6" s="22">
        <v>1000</v>
      </c>
      <c r="BC6" s="22">
        <v>1000</v>
      </c>
      <c r="BD6" s="22">
        <v>1000</v>
      </c>
      <c r="BE6" s="22">
        <v>1000</v>
      </c>
      <c r="BF6" s="22">
        <v>0</v>
      </c>
      <c r="BG6" s="22">
        <v>1000</v>
      </c>
      <c r="BH6" s="22">
        <v>1000</v>
      </c>
      <c r="BI6" s="22">
        <v>1000</v>
      </c>
      <c r="BJ6" s="22">
        <v>1000</v>
      </c>
      <c r="BK6" s="22">
        <f t="shared" si="14"/>
        <v>0</v>
      </c>
      <c r="BL6" s="22">
        <f t="shared" si="15"/>
        <v>0</v>
      </c>
      <c r="BM6" s="22">
        <f t="shared" si="16"/>
        <v>2000</v>
      </c>
      <c r="BN6" s="22">
        <f t="shared" si="17"/>
        <v>6000</v>
      </c>
      <c r="BO6" s="22">
        <f t="shared" si="18"/>
        <v>4000</v>
      </c>
    </row>
    <row r="7" s="2" customFormat="1" ht="20.25" customHeight="1" spans="1:67">
      <c r="A7" s="22" t="s">
        <v>79</v>
      </c>
      <c r="B7" s="22" t="s">
        <v>24</v>
      </c>
      <c r="C7" s="22" t="s">
        <v>41</v>
      </c>
      <c r="D7" s="23" t="s">
        <v>36</v>
      </c>
      <c r="E7" s="22">
        <v>583822</v>
      </c>
      <c r="F7" s="24" t="s">
        <v>86</v>
      </c>
      <c r="G7" s="24" t="s">
        <v>81</v>
      </c>
      <c r="H7" s="25">
        <v>99.5</v>
      </c>
      <c r="I7" s="26">
        <v>46157</v>
      </c>
      <c r="J7" s="25">
        <v>0</v>
      </c>
      <c r="K7" s="25">
        <f t="shared" si="0"/>
        <v>12000</v>
      </c>
      <c r="L7" s="25">
        <f t="shared" si="19"/>
        <v>12000</v>
      </c>
      <c r="M7" s="25">
        <v>7092</v>
      </c>
      <c r="N7" s="25">
        <v>0</v>
      </c>
      <c r="O7" s="25">
        <v>2908</v>
      </c>
      <c r="P7" s="27">
        <v>2000</v>
      </c>
      <c r="Q7" s="25">
        <v>0</v>
      </c>
      <c r="R7" s="28">
        <f t="shared" si="1"/>
        <v>12000</v>
      </c>
      <c r="S7" s="27">
        <f t="shared" si="2"/>
        <v>0</v>
      </c>
      <c r="T7" s="29">
        <f t="shared" si="3"/>
        <v>12000</v>
      </c>
      <c r="U7" s="30">
        <f t="shared" si="4"/>
        <v>7092</v>
      </c>
      <c r="V7" s="30" t="str">
        <f t="shared" si="5"/>
        <v>0</v>
      </c>
      <c r="W7" s="30">
        <f t="shared" si="6"/>
        <v>2908</v>
      </c>
      <c r="X7" s="30">
        <f t="shared" si="7"/>
        <v>2000</v>
      </c>
      <c r="Y7" s="25" t="str">
        <f t="shared" si="8"/>
        <v>0</v>
      </c>
      <c r="Z7" s="25"/>
      <c r="AA7" s="25">
        <f t="shared" si="20"/>
        <v>0</v>
      </c>
      <c r="AB7" s="25">
        <f t="shared" si="9"/>
        <v>0</v>
      </c>
      <c r="AC7" s="25">
        <f t="shared" si="10"/>
        <v>0</v>
      </c>
      <c r="AD7" s="25">
        <f t="shared" si="11"/>
        <v>0</v>
      </c>
      <c r="AE7" s="25">
        <f t="shared" si="12"/>
        <v>0</v>
      </c>
      <c r="AF7" s="25">
        <f t="shared" si="13"/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1000</v>
      </c>
      <c r="AX7" s="22">
        <v>1000</v>
      </c>
      <c r="AY7" s="22">
        <v>0</v>
      </c>
      <c r="AZ7" s="22">
        <v>1000</v>
      </c>
      <c r="BA7" s="22">
        <v>1000</v>
      </c>
      <c r="BB7" s="22">
        <v>1000</v>
      </c>
      <c r="BC7" s="22">
        <v>1000</v>
      </c>
      <c r="BD7" s="22">
        <v>1000</v>
      </c>
      <c r="BE7" s="22">
        <v>1000</v>
      </c>
      <c r="BF7" s="22">
        <v>0</v>
      </c>
      <c r="BG7" s="22">
        <v>1000</v>
      </c>
      <c r="BH7" s="22">
        <v>1000</v>
      </c>
      <c r="BI7" s="22">
        <v>1000</v>
      </c>
      <c r="BJ7" s="22">
        <v>1000</v>
      </c>
      <c r="BK7" s="22">
        <f t="shared" si="14"/>
        <v>0</v>
      </c>
      <c r="BL7" s="22">
        <f t="shared" si="15"/>
        <v>0</v>
      </c>
      <c r="BM7" s="22">
        <f t="shared" si="16"/>
        <v>2000</v>
      </c>
      <c r="BN7" s="22">
        <f t="shared" si="17"/>
        <v>6000</v>
      </c>
      <c r="BO7" s="22">
        <f t="shared" si="18"/>
        <v>4000</v>
      </c>
    </row>
    <row r="8" s="2" customFormat="1" ht="20.25" customHeight="1" spans="1:67">
      <c r="A8" s="22" t="s">
        <v>79</v>
      </c>
      <c r="B8" s="22" t="s">
        <v>24</v>
      </c>
      <c r="C8" s="22" t="s">
        <v>39</v>
      </c>
      <c r="D8" s="23" t="s">
        <v>36</v>
      </c>
      <c r="E8" s="22">
        <v>583823</v>
      </c>
      <c r="F8" s="24" t="s">
        <v>87</v>
      </c>
      <c r="G8" s="24" t="s">
        <v>81</v>
      </c>
      <c r="H8" s="25">
        <v>99.5</v>
      </c>
      <c r="I8" s="26">
        <v>46157</v>
      </c>
      <c r="J8" s="25">
        <v>0</v>
      </c>
      <c r="K8" s="25">
        <f t="shared" si="0"/>
        <v>5000</v>
      </c>
      <c r="L8" s="25">
        <f t="shared" si="19"/>
        <v>5000</v>
      </c>
      <c r="M8" s="25">
        <v>2700</v>
      </c>
      <c r="N8" s="25">
        <v>0</v>
      </c>
      <c r="O8" s="25">
        <v>800</v>
      </c>
      <c r="P8" s="27">
        <v>1500</v>
      </c>
      <c r="Q8" s="25">
        <v>0</v>
      </c>
      <c r="R8" s="28">
        <f t="shared" si="1"/>
        <v>5000</v>
      </c>
      <c r="S8" s="27">
        <f t="shared" si="2"/>
        <v>0</v>
      </c>
      <c r="T8" s="29">
        <f t="shared" si="3"/>
        <v>5000</v>
      </c>
      <c r="U8" s="30">
        <f t="shared" si="4"/>
        <v>2700</v>
      </c>
      <c r="V8" s="25" t="str">
        <f t="shared" si="5"/>
        <v>0</v>
      </c>
      <c r="W8" s="30">
        <f t="shared" si="6"/>
        <v>800</v>
      </c>
      <c r="X8" s="30">
        <f t="shared" si="7"/>
        <v>1500</v>
      </c>
      <c r="Y8" s="25" t="str">
        <f t="shared" si="8"/>
        <v>0</v>
      </c>
      <c r="Z8" s="25"/>
      <c r="AA8" s="25">
        <f t="shared" si="20"/>
        <v>0</v>
      </c>
      <c r="AB8" s="25">
        <f t="shared" si="9"/>
        <v>0</v>
      </c>
      <c r="AC8" s="25">
        <f t="shared" si="10"/>
        <v>0</v>
      </c>
      <c r="AD8" s="25">
        <f t="shared" si="11"/>
        <v>0</v>
      </c>
      <c r="AE8" s="25">
        <f t="shared" si="12"/>
        <v>0</v>
      </c>
      <c r="AF8" s="25">
        <f t="shared" si="13"/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3000</v>
      </c>
      <c r="AZ8" s="22">
        <v>0</v>
      </c>
      <c r="BA8" s="22">
        <v>0</v>
      </c>
      <c r="BB8" s="22">
        <v>0</v>
      </c>
      <c r="BC8" s="22">
        <v>0</v>
      </c>
      <c r="BD8" s="22">
        <v>2000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f t="shared" si="14"/>
        <v>0</v>
      </c>
      <c r="BL8" s="22">
        <f t="shared" si="15"/>
        <v>0</v>
      </c>
      <c r="BM8" s="22">
        <f t="shared" si="16"/>
        <v>0</v>
      </c>
      <c r="BN8" s="22">
        <f t="shared" si="17"/>
        <v>5000</v>
      </c>
      <c r="BO8" s="22">
        <f t="shared" si="18"/>
        <v>0</v>
      </c>
    </row>
    <row r="9" s="2" customFormat="1" ht="20.25" customHeight="1" spans="1:67">
      <c r="A9" s="22" t="s">
        <v>79</v>
      </c>
      <c r="B9" s="22" t="s">
        <v>24</v>
      </c>
      <c r="C9" s="22" t="s">
        <v>39</v>
      </c>
      <c r="D9" s="23" t="s">
        <v>36</v>
      </c>
      <c r="E9" s="22">
        <v>583824</v>
      </c>
      <c r="F9" s="24" t="s">
        <v>88</v>
      </c>
      <c r="G9" s="24" t="s">
        <v>81</v>
      </c>
      <c r="H9" s="25">
        <v>99.5</v>
      </c>
      <c r="I9" s="26">
        <v>46157</v>
      </c>
      <c r="J9" s="25">
        <v>0</v>
      </c>
      <c r="K9" s="25">
        <f t="shared" si="0"/>
        <v>5000</v>
      </c>
      <c r="L9" s="25">
        <f t="shared" si="19"/>
        <v>5000</v>
      </c>
      <c r="M9" s="25">
        <v>2700</v>
      </c>
      <c r="N9" s="25">
        <v>0</v>
      </c>
      <c r="O9" s="25">
        <v>800</v>
      </c>
      <c r="P9" s="27">
        <v>1500</v>
      </c>
      <c r="Q9" s="25">
        <v>0</v>
      </c>
      <c r="R9" s="28">
        <f t="shared" si="1"/>
        <v>5000</v>
      </c>
      <c r="S9" s="27">
        <f t="shared" si="2"/>
        <v>0</v>
      </c>
      <c r="T9" s="29">
        <f t="shared" si="3"/>
        <v>5000</v>
      </c>
      <c r="U9" s="30">
        <f t="shared" si="4"/>
        <v>2700</v>
      </c>
      <c r="V9" s="25" t="str">
        <f t="shared" si="5"/>
        <v>0</v>
      </c>
      <c r="W9" s="30">
        <f t="shared" si="6"/>
        <v>800</v>
      </c>
      <c r="X9" s="30">
        <f t="shared" si="7"/>
        <v>1500</v>
      </c>
      <c r="Y9" s="25" t="str">
        <f t="shared" si="8"/>
        <v>0</v>
      </c>
      <c r="Z9" s="25"/>
      <c r="AA9" s="25">
        <f t="shared" si="20"/>
        <v>0</v>
      </c>
      <c r="AB9" s="25">
        <f t="shared" si="9"/>
        <v>0</v>
      </c>
      <c r="AC9" s="25">
        <f t="shared" si="10"/>
        <v>0</v>
      </c>
      <c r="AD9" s="25">
        <f t="shared" si="11"/>
        <v>0</v>
      </c>
      <c r="AE9" s="25">
        <f t="shared" si="12"/>
        <v>0</v>
      </c>
      <c r="AF9" s="25">
        <f t="shared" si="13"/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3000</v>
      </c>
      <c r="AZ9" s="22">
        <v>0</v>
      </c>
      <c r="BA9" s="22">
        <v>0</v>
      </c>
      <c r="BB9" s="22">
        <v>0</v>
      </c>
      <c r="BC9" s="22">
        <v>0</v>
      </c>
      <c r="BD9" s="22">
        <v>2000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f t="shared" si="14"/>
        <v>0</v>
      </c>
      <c r="BL9" s="22">
        <f t="shared" si="15"/>
        <v>0</v>
      </c>
      <c r="BM9" s="22">
        <f t="shared" si="16"/>
        <v>0</v>
      </c>
      <c r="BN9" s="22">
        <f t="shared" si="17"/>
        <v>5000</v>
      </c>
      <c r="BO9" s="22">
        <f t="shared" si="18"/>
        <v>0</v>
      </c>
    </row>
    <row r="10" s="2" customFormat="1" ht="20.25" customHeight="1" spans="1:67">
      <c r="A10" s="22" t="s">
        <v>79</v>
      </c>
      <c r="B10" s="22" t="s">
        <v>25</v>
      </c>
      <c r="C10" s="22" t="s">
        <v>41</v>
      </c>
      <c r="D10" s="23" t="s">
        <v>36</v>
      </c>
      <c r="E10" s="32">
        <v>664114</v>
      </c>
      <c r="F10" s="33" t="s">
        <v>89</v>
      </c>
      <c r="G10" s="24" t="s">
        <v>81</v>
      </c>
      <c r="H10" s="34">
        <v>29.5</v>
      </c>
      <c r="I10" s="35">
        <v>46137</v>
      </c>
      <c r="J10" s="25">
        <v>6903</v>
      </c>
      <c r="K10" s="25">
        <f t="shared" si="0"/>
        <v>0</v>
      </c>
      <c r="L10" s="25">
        <f t="shared" si="19"/>
        <v>6903</v>
      </c>
      <c r="M10" s="25">
        <v>17000</v>
      </c>
      <c r="N10" s="25">
        <v>0</v>
      </c>
      <c r="O10" s="25">
        <v>13300</v>
      </c>
      <c r="P10" s="27">
        <v>6636</v>
      </c>
      <c r="Q10" s="25">
        <v>0</v>
      </c>
      <c r="R10" s="28">
        <f t="shared" ref="R10:R13" si="21">SUM(M10:Q10)</f>
        <v>36936</v>
      </c>
      <c r="S10" s="27">
        <f t="shared" si="2"/>
        <v>-30033</v>
      </c>
      <c r="T10" s="29">
        <f t="shared" si="3"/>
        <v>6903</v>
      </c>
      <c r="U10" s="25">
        <f t="shared" si="4"/>
        <v>3177.14424951267</v>
      </c>
      <c r="V10" s="25" t="str">
        <f t="shared" si="5"/>
        <v>0</v>
      </c>
      <c r="W10" s="25">
        <f t="shared" si="6"/>
        <v>2485.64814814815</v>
      </c>
      <c r="X10" s="25">
        <f t="shared" si="7"/>
        <v>1240.20760233918</v>
      </c>
      <c r="Y10" s="25" t="str">
        <f t="shared" si="8"/>
        <v>0</v>
      </c>
      <c r="Z10" s="25"/>
      <c r="AA10" s="25">
        <f t="shared" si="20"/>
        <v>-30033</v>
      </c>
      <c r="AB10" s="25">
        <f t="shared" si="9"/>
        <v>-13822.8557504873</v>
      </c>
      <c r="AC10" s="25">
        <f t="shared" si="10"/>
        <v>0</v>
      </c>
      <c r="AD10" s="25">
        <f t="shared" si="11"/>
        <v>-10814.3518518519</v>
      </c>
      <c r="AE10" s="25">
        <f t="shared" si="12"/>
        <v>-5395.79239766082</v>
      </c>
      <c r="AF10" s="25">
        <f t="shared" si="13"/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f t="shared" si="14"/>
        <v>0</v>
      </c>
      <c r="BL10" s="22">
        <f t="shared" si="15"/>
        <v>0</v>
      </c>
      <c r="BM10" s="22">
        <f t="shared" si="16"/>
        <v>0</v>
      </c>
      <c r="BN10" s="22">
        <f t="shared" si="17"/>
        <v>0</v>
      </c>
      <c r="BO10" s="22">
        <f t="shared" si="18"/>
        <v>0</v>
      </c>
    </row>
    <row r="11" s="2" customFormat="1" ht="20.25" customHeight="1" spans="1:67">
      <c r="A11" s="22" t="s">
        <v>79</v>
      </c>
      <c r="B11" s="22" t="s">
        <v>25</v>
      </c>
      <c r="C11" s="22" t="s">
        <v>41</v>
      </c>
      <c r="D11" s="23" t="s">
        <v>36</v>
      </c>
      <c r="E11" s="32">
        <v>664115</v>
      </c>
      <c r="F11" s="33" t="s">
        <v>90</v>
      </c>
      <c r="G11" s="24" t="s">
        <v>81</v>
      </c>
      <c r="H11" s="34">
        <v>29.5</v>
      </c>
      <c r="I11" s="35">
        <v>46137</v>
      </c>
      <c r="J11" s="25">
        <v>3959</v>
      </c>
      <c r="K11" s="25">
        <f t="shared" si="0"/>
        <v>4000</v>
      </c>
      <c r="L11" s="25">
        <f t="shared" si="19"/>
        <v>7959</v>
      </c>
      <c r="M11" s="25">
        <v>18240</v>
      </c>
      <c r="N11" s="25">
        <v>0</v>
      </c>
      <c r="O11" s="25">
        <v>10600</v>
      </c>
      <c r="P11" s="27">
        <v>7500</v>
      </c>
      <c r="Q11" s="25">
        <v>0</v>
      </c>
      <c r="R11" s="28">
        <f t="shared" si="21"/>
        <v>36340</v>
      </c>
      <c r="S11" s="27">
        <f t="shared" si="2"/>
        <v>-28381</v>
      </c>
      <c r="T11" s="29">
        <f t="shared" si="3"/>
        <v>7959</v>
      </c>
      <c r="U11" s="25">
        <f t="shared" si="4"/>
        <v>3994.83104017611</v>
      </c>
      <c r="V11" s="25" t="str">
        <f t="shared" si="5"/>
        <v>0</v>
      </c>
      <c r="W11" s="25">
        <f t="shared" si="6"/>
        <v>2321.55751238305</v>
      </c>
      <c r="X11" s="25">
        <f t="shared" si="7"/>
        <v>1642.61144744084</v>
      </c>
      <c r="Y11" s="25" t="str">
        <f t="shared" si="8"/>
        <v>0</v>
      </c>
      <c r="Z11" s="25"/>
      <c r="AA11" s="25">
        <f t="shared" si="20"/>
        <v>-28381</v>
      </c>
      <c r="AB11" s="25">
        <f t="shared" si="9"/>
        <v>-14245.1689598239</v>
      </c>
      <c r="AC11" s="25">
        <f t="shared" si="10"/>
        <v>0</v>
      </c>
      <c r="AD11" s="25">
        <f t="shared" si="11"/>
        <v>-8278.44248761695</v>
      </c>
      <c r="AE11" s="25">
        <f t="shared" si="12"/>
        <v>-5857.38855255916</v>
      </c>
      <c r="AF11" s="25">
        <f t="shared" si="13"/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2000</v>
      </c>
      <c r="BA11" s="22">
        <v>2000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f t="shared" si="14"/>
        <v>0</v>
      </c>
      <c r="BL11" s="22">
        <f t="shared" si="15"/>
        <v>0</v>
      </c>
      <c r="BM11" s="22">
        <f t="shared" si="16"/>
        <v>0</v>
      </c>
      <c r="BN11" s="22">
        <f t="shared" si="17"/>
        <v>4000</v>
      </c>
      <c r="BO11" s="22">
        <f t="shared" si="18"/>
        <v>0</v>
      </c>
    </row>
    <row r="12" s="2" customFormat="1" ht="20.25" customHeight="1" spans="1:67">
      <c r="A12" s="22" t="s">
        <v>79</v>
      </c>
      <c r="B12" s="22" t="s">
        <v>25</v>
      </c>
      <c r="C12" s="22" t="s">
        <v>41</v>
      </c>
      <c r="D12" s="23" t="s">
        <v>36</v>
      </c>
      <c r="E12" s="32">
        <v>664116</v>
      </c>
      <c r="F12" s="33" t="s">
        <v>91</v>
      </c>
      <c r="G12" s="24" t="s">
        <v>81</v>
      </c>
      <c r="H12" s="34">
        <v>29.5</v>
      </c>
      <c r="I12" s="35">
        <v>46137</v>
      </c>
      <c r="J12" s="25">
        <v>1711</v>
      </c>
      <c r="K12" s="25">
        <f t="shared" si="0"/>
        <v>6296</v>
      </c>
      <c r="L12" s="25">
        <f t="shared" si="19"/>
        <v>8007</v>
      </c>
      <c r="M12" s="25">
        <v>23000</v>
      </c>
      <c r="N12" s="25">
        <v>0</v>
      </c>
      <c r="O12" s="25">
        <v>13000</v>
      </c>
      <c r="P12" s="27">
        <v>7500</v>
      </c>
      <c r="Q12" s="25">
        <v>0</v>
      </c>
      <c r="R12" s="28">
        <f t="shared" si="21"/>
        <v>43500</v>
      </c>
      <c r="S12" s="27">
        <f t="shared" si="2"/>
        <v>-35493</v>
      </c>
      <c r="T12" s="29">
        <f t="shared" si="3"/>
        <v>8007</v>
      </c>
      <c r="U12" s="25">
        <f t="shared" si="4"/>
        <v>4233.58620689655</v>
      </c>
      <c r="V12" s="25" t="str">
        <f t="shared" si="5"/>
        <v>0</v>
      </c>
      <c r="W12" s="25">
        <f t="shared" si="6"/>
        <v>2392.89655172414</v>
      </c>
      <c r="X12" s="25">
        <f t="shared" si="7"/>
        <v>1380.51724137931</v>
      </c>
      <c r="Y12" s="25" t="str">
        <f t="shared" si="8"/>
        <v>0</v>
      </c>
      <c r="Z12" s="25"/>
      <c r="AA12" s="25">
        <f t="shared" si="20"/>
        <v>-35493</v>
      </c>
      <c r="AB12" s="25">
        <f t="shared" si="9"/>
        <v>-18766.4137931034</v>
      </c>
      <c r="AC12" s="25">
        <f t="shared" si="10"/>
        <v>0</v>
      </c>
      <c r="AD12" s="25">
        <f t="shared" si="11"/>
        <v>-10607.1034482759</v>
      </c>
      <c r="AE12" s="25">
        <f t="shared" si="12"/>
        <v>-6119.48275862069</v>
      </c>
      <c r="AF12" s="25">
        <f t="shared" si="13"/>
        <v>0</v>
      </c>
      <c r="AG12" s="22">
        <v>1296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2000</v>
      </c>
      <c r="BD12" s="22">
        <v>2000</v>
      </c>
      <c r="BE12" s="22">
        <v>1000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f t="shared" si="14"/>
        <v>1296</v>
      </c>
      <c r="BL12" s="22">
        <f t="shared" si="15"/>
        <v>0</v>
      </c>
      <c r="BM12" s="22">
        <f t="shared" si="16"/>
        <v>0</v>
      </c>
      <c r="BN12" s="22">
        <f t="shared" si="17"/>
        <v>5000</v>
      </c>
      <c r="BO12" s="22">
        <f t="shared" si="18"/>
        <v>0</v>
      </c>
    </row>
    <row r="13" s="2" customFormat="1" ht="20.25" customHeight="1" spans="1:67">
      <c r="A13" s="22" t="s">
        <v>79</v>
      </c>
      <c r="B13" s="22" t="s">
        <v>25</v>
      </c>
      <c r="C13" s="22" t="s">
        <v>41</v>
      </c>
      <c r="D13" s="23" t="s">
        <v>36</v>
      </c>
      <c r="E13" s="32" t="s">
        <v>92</v>
      </c>
      <c r="F13" s="33" t="s">
        <v>93</v>
      </c>
      <c r="G13" s="24" t="s">
        <v>81</v>
      </c>
      <c r="H13" s="34">
        <v>29.5</v>
      </c>
      <c r="I13" s="35">
        <v>46137</v>
      </c>
      <c r="J13" s="25">
        <v>0</v>
      </c>
      <c r="K13" s="25">
        <f t="shared" si="0"/>
        <v>36000</v>
      </c>
      <c r="L13" s="25">
        <f t="shared" si="19"/>
        <v>36000</v>
      </c>
      <c r="M13" s="25">
        <v>0</v>
      </c>
      <c r="N13" s="25">
        <v>0</v>
      </c>
      <c r="O13" s="25">
        <v>0</v>
      </c>
      <c r="P13" s="27">
        <v>35000</v>
      </c>
      <c r="Q13" s="25">
        <v>0</v>
      </c>
      <c r="R13" s="28">
        <f t="shared" si="21"/>
        <v>35000</v>
      </c>
      <c r="S13" s="27">
        <f t="shared" si="2"/>
        <v>1000</v>
      </c>
      <c r="T13" s="29">
        <f t="shared" si="3"/>
        <v>35000</v>
      </c>
      <c r="U13" s="25" t="str">
        <f t="shared" si="4"/>
        <v>0</v>
      </c>
      <c r="V13" s="25" t="str">
        <f t="shared" si="5"/>
        <v>0</v>
      </c>
      <c r="W13" s="25" t="str">
        <f t="shared" si="6"/>
        <v>0</v>
      </c>
      <c r="X13" s="25">
        <f t="shared" si="7"/>
        <v>35000</v>
      </c>
      <c r="Y13" s="25" t="str">
        <f t="shared" si="8"/>
        <v>0</v>
      </c>
      <c r="Z13" s="25"/>
      <c r="AA13" s="25">
        <f t="shared" si="20"/>
        <v>0</v>
      </c>
      <c r="AB13" s="25">
        <f t="shared" si="9"/>
        <v>0</v>
      </c>
      <c r="AC13" s="25">
        <f t="shared" si="10"/>
        <v>0</v>
      </c>
      <c r="AD13" s="25">
        <f t="shared" si="11"/>
        <v>0</v>
      </c>
      <c r="AE13" s="25">
        <f t="shared" si="12"/>
        <v>0</v>
      </c>
      <c r="AF13" s="25">
        <f t="shared" si="13"/>
        <v>0</v>
      </c>
      <c r="AG13" s="22">
        <v>4312</v>
      </c>
      <c r="AH13" s="22">
        <v>0</v>
      </c>
      <c r="AI13" s="22">
        <v>0</v>
      </c>
      <c r="AJ13" s="22">
        <v>0</v>
      </c>
      <c r="AK13" s="22">
        <v>4000</v>
      </c>
      <c r="AL13" s="22">
        <v>4000</v>
      </c>
      <c r="AM13" s="22">
        <v>4000</v>
      </c>
      <c r="AN13" s="22">
        <v>4000</v>
      </c>
      <c r="AO13" s="22">
        <v>4000</v>
      </c>
      <c r="AP13" s="22">
        <v>4000</v>
      </c>
      <c r="AQ13" s="22">
        <v>4688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3000</v>
      </c>
      <c r="BK13" s="22">
        <f t="shared" si="14"/>
        <v>4312</v>
      </c>
      <c r="BL13" s="22">
        <f t="shared" si="15"/>
        <v>28688</v>
      </c>
      <c r="BM13" s="22">
        <f t="shared" si="16"/>
        <v>0</v>
      </c>
      <c r="BN13" s="22">
        <f t="shared" si="17"/>
        <v>0</v>
      </c>
      <c r="BO13" s="22">
        <f t="shared" si="18"/>
        <v>3000</v>
      </c>
    </row>
    <row r="14" s="2" customFormat="1" ht="20.25" customHeight="1" spans="1:67">
      <c r="A14" s="22" t="s">
        <v>94</v>
      </c>
      <c r="B14" s="22" t="s">
        <v>26</v>
      </c>
      <c r="C14" s="22" t="s">
        <v>41</v>
      </c>
      <c r="D14" s="22" t="s">
        <v>30</v>
      </c>
      <c r="E14" s="36" t="s">
        <v>95</v>
      </c>
      <c r="F14" s="24" t="s">
        <v>96</v>
      </c>
      <c r="G14" s="24" t="s">
        <v>81</v>
      </c>
      <c r="H14" s="25">
        <v>29.5</v>
      </c>
      <c r="I14" s="26">
        <v>46098</v>
      </c>
      <c r="J14" s="25">
        <v>24401</v>
      </c>
      <c r="K14" s="25">
        <f t="shared" si="0"/>
        <v>30000</v>
      </c>
      <c r="L14" s="25">
        <f t="shared" si="19"/>
        <v>54401</v>
      </c>
      <c r="M14" s="25">
        <v>4200</v>
      </c>
      <c r="N14" s="25"/>
      <c r="O14" s="25">
        <v>0</v>
      </c>
      <c r="P14" s="27">
        <v>40000</v>
      </c>
      <c r="Q14" s="25">
        <v>200</v>
      </c>
      <c r="R14" s="28">
        <f t="shared" ref="R14:R23" si="22">SUM(M14:Q14)</f>
        <v>44400</v>
      </c>
      <c r="S14" s="27">
        <f t="shared" si="2"/>
        <v>10001</v>
      </c>
      <c r="T14" s="29">
        <f t="shared" si="3"/>
        <v>44400</v>
      </c>
      <c r="U14" s="25">
        <f t="shared" si="4"/>
        <v>4200</v>
      </c>
      <c r="V14" s="25" t="str">
        <f t="shared" si="5"/>
        <v>0</v>
      </c>
      <c r="W14" s="25" t="str">
        <f t="shared" si="6"/>
        <v>0</v>
      </c>
      <c r="X14" s="25">
        <f t="shared" si="7"/>
        <v>40000</v>
      </c>
      <c r="Y14" s="25">
        <f t="shared" si="8"/>
        <v>200</v>
      </c>
      <c r="Z14" s="25"/>
      <c r="AA14" s="25">
        <f t="shared" si="20"/>
        <v>0</v>
      </c>
      <c r="AB14" s="25">
        <f t="shared" si="9"/>
        <v>0</v>
      </c>
      <c r="AC14" s="25">
        <f t="shared" si="10"/>
        <v>0</v>
      </c>
      <c r="AD14" s="25">
        <f t="shared" si="11"/>
        <v>0</v>
      </c>
      <c r="AE14" s="25">
        <f t="shared" si="12"/>
        <v>0</v>
      </c>
      <c r="AF14" s="25">
        <f t="shared" si="13"/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10000</v>
      </c>
      <c r="AX14" s="22">
        <v>10000</v>
      </c>
      <c r="AY14" s="22">
        <v>0</v>
      </c>
      <c r="AZ14" s="22">
        <v>10000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f t="shared" si="14"/>
        <v>0</v>
      </c>
      <c r="BL14" s="22">
        <f t="shared" si="15"/>
        <v>0</v>
      </c>
      <c r="BM14" s="22">
        <f t="shared" si="16"/>
        <v>20000</v>
      </c>
      <c r="BN14" s="22">
        <f t="shared" si="17"/>
        <v>10000</v>
      </c>
      <c r="BO14" s="22">
        <f t="shared" si="18"/>
        <v>0</v>
      </c>
    </row>
    <row r="15" s="2" customFormat="1" ht="20.25" customHeight="1" spans="1:67">
      <c r="A15" s="22" t="s">
        <v>94</v>
      </c>
      <c r="B15" s="22" t="s">
        <v>26</v>
      </c>
      <c r="C15" s="22" t="s">
        <v>41</v>
      </c>
      <c r="D15" s="22" t="s">
        <v>34</v>
      </c>
      <c r="E15" s="36" t="s">
        <v>97</v>
      </c>
      <c r="F15" s="24" t="s">
        <v>98</v>
      </c>
      <c r="G15" s="24" t="s">
        <v>81</v>
      </c>
      <c r="H15" s="25">
        <v>29.5</v>
      </c>
      <c r="I15" s="26">
        <v>46098</v>
      </c>
      <c r="J15" s="25">
        <v>4644</v>
      </c>
      <c r="K15" s="25">
        <f t="shared" si="0"/>
        <v>40704</v>
      </c>
      <c r="L15" s="25">
        <f t="shared" si="19"/>
        <v>45348</v>
      </c>
      <c r="M15" s="25">
        <v>35000</v>
      </c>
      <c r="N15" s="25">
        <v>0</v>
      </c>
      <c r="O15" s="25">
        <v>6000</v>
      </c>
      <c r="P15" s="27">
        <v>5000</v>
      </c>
      <c r="Q15" s="25">
        <v>150</v>
      </c>
      <c r="R15" s="28">
        <f t="shared" si="22"/>
        <v>46150</v>
      </c>
      <c r="S15" s="27">
        <f t="shared" si="2"/>
        <v>-802</v>
      </c>
      <c r="T15" s="29">
        <f t="shared" si="3"/>
        <v>45348</v>
      </c>
      <c r="U15" s="25">
        <f t="shared" si="4"/>
        <v>34391.7659804984</v>
      </c>
      <c r="V15" s="25" t="str">
        <f t="shared" si="5"/>
        <v>0</v>
      </c>
      <c r="W15" s="25">
        <f t="shared" si="6"/>
        <v>5895.73131094258</v>
      </c>
      <c r="X15" s="25">
        <f t="shared" si="7"/>
        <v>4913.10942578548</v>
      </c>
      <c r="Y15" s="25">
        <f t="shared" si="8"/>
        <v>147.393282773564</v>
      </c>
      <c r="Z15" s="25"/>
      <c r="AA15" s="25">
        <f t="shared" si="20"/>
        <v>-802.000000000004</v>
      </c>
      <c r="AB15" s="25">
        <f t="shared" si="9"/>
        <v>-608.23401950163</v>
      </c>
      <c r="AC15" s="25">
        <f t="shared" si="10"/>
        <v>0</v>
      </c>
      <c r="AD15" s="25">
        <f t="shared" si="11"/>
        <v>-104.268689057421</v>
      </c>
      <c r="AE15" s="25">
        <f t="shared" si="12"/>
        <v>-86.890574214518</v>
      </c>
      <c r="AF15" s="25">
        <f t="shared" si="13"/>
        <v>-2.60671722643553</v>
      </c>
      <c r="AG15" s="22">
        <v>2304</v>
      </c>
      <c r="AH15" s="22">
        <v>0</v>
      </c>
      <c r="AI15" s="22">
        <v>0</v>
      </c>
      <c r="AJ15" s="22">
        <v>0</v>
      </c>
      <c r="AK15" s="22">
        <v>2200</v>
      </c>
      <c r="AL15" s="22">
        <v>2200</v>
      </c>
      <c r="AM15" s="22">
        <v>2200</v>
      </c>
      <c r="AN15" s="22">
        <v>2200</v>
      </c>
      <c r="AO15" s="22">
        <v>2200</v>
      </c>
      <c r="AP15" s="22">
        <v>2200</v>
      </c>
      <c r="AQ15" s="22">
        <v>2200</v>
      </c>
      <c r="AR15" s="22">
        <v>0</v>
      </c>
      <c r="AS15" s="22">
        <v>2200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1000</v>
      </c>
      <c r="BA15" s="22">
        <v>2200</v>
      </c>
      <c r="BB15" s="22">
        <v>2200</v>
      </c>
      <c r="BC15" s="22">
        <v>2200</v>
      </c>
      <c r="BD15" s="22">
        <v>2200</v>
      </c>
      <c r="BE15" s="22">
        <v>2200</v>
      </c>
      <c r="BF15" s="22">
        <v>0</v>
      </c>
      <c r="BG15" s="22">
        <v>2200</v>
      </c>
      <c r="BH15" s="22">
        <v>2200</v>
      </c>
      <c r="BI15" s="22">
        <v>2200</v>
      </c>
      <c r="BJ15" s="22">
        <v>2200</v>
      </c>
      <c r="BK15" s="22">
        <f t="shared" si="14"/>
        <v>2304</v>
      </c>
      <c r="BL15" s="22">
        <f t="shared" si="15"/>
        <v>15400</v>
      </c>
      <c r="BM15" s="22">
        <f t="shared" si="16"/>
        <v>2200</v>
      </c>
      <c r="BN15" s="22">
        <f t="shared" si="17"/>
        <v>12000</v>
      </c>
      <c r="BO15" s="22">
        <f t="shared" si="18"/>
        <v>8800</v>
      </c>
    </row>
    <row r="16" s="2" customFormat="1" ht="20.25" customHeight="1" spans="1:67">
      <c r="A16" s="22" t="s">
        <v>94</v>
      </c>
      <c r="B16" s="22" t="s">
        <v>26</v>
      </c>
      <c r="C16" s="22" t="s">
        <v>41</v>
      </c>
      <c r="D16" s="22" t="s">
        <v>34</v>
      </c>
      <c r="E16" s="36" t="s">
        <v>99</v>
      </c>
      <c r="F16" s="24" t="s">
        <v>100</v>
      </c>
      <c r="G16" s="24" t="s">
        <v>81</v>
      </c>
      <c r="H16" s="25">
        <v>29.5</v>
      </c>
      <c r="I16" s="26">
        <v>46098</v>
      </c>
      <c r="J16" s="25">
        <v>9552</v>
      </c>
      <c r="K16" s="25">
        <f t="shared" si="0"/>
        <v>32756</v>
      </c>
      <c r="L16" s="25">
        <f t="shared" si="19"/>
        <v>42308</v>
      </c>
      <c r="M16" s="25">
        <v>15000</v>
      </c>
      <c r="N16" s="25">
        <v>0</v>
      </c>
      <c r="O16" s="25">
        <v>4000</v>
      </c>
      <c r="P16" s="27">
        <v>4000</v>
      </c>
      <c r="Q16" s="25">
        <v>150</v>
      </c>
      <c r="R16" s="28">
        <f t="shared" si="22"/>
        <v>23150</v>
      </c>
      <c r="S16" s="27">
        <f t="shared" si="2"/>
        <v>19158</v>
      </c>
      <c r="T16" s="29">
        <f t="shared" si="3"/>
        <v>23150</v>
      </c>
      <c r="U16" s="25">
        <f t="shared" si="4"/>
        <v>15000</v>
      </c>
      <c r="V16" s="25" t="str">
        <f t="shared" si="5"/>
        <v>0</v>
      </c>
      <c r="W16" s="25">
        <f t="shared" si="6"/>
        <v>4000</v>
      </c>
      <c r="X16" s="25">
        <f t="shared" si="7"/>
        <v>4000</v>
      </c>
      <c r="Y16" s="25">
        <f t="shared" si="8"/>
        <v>150</v>
      </c>
      <c r="Z16" s="25"/>
      <c r="AA16" s="25">
        <f t="shared" si="20"/>
        <v>0</v>
      </c>
      <c r="AB16" s="25">
        <f t="shared" si="9"/>
        <v>0</v>
      </c>
      <c r="AC16" s="25">
        <f t="shared" si="10"/>
        <v>0</v>
      </c>
      <c r="AD16" s="25">
        <f t="shared" si="11"/>
        <v>0</v>
      </c>
      <c r="AE16" s="25">
        <f t="shared" si="12"/>
        <v>0</v>
      </c>
      <c r="AF16" s="25">
        <f t="shared" si="13"/>
        <v>0</v>
      </c>
      <c r="AG16" s="22">
        <v>1356</v>
      </c>
      <c r="AH16" s="22">
        <v>0</v>
      </c>
      <c r="AI16" s="22">
        <v>0</v>
      </c>
      <c r="AJ16" s="22">
        <v>0</v>
      </c>
      <c r="AK16" s="22">
        <v>0</v>
      </c>
      <c r="AL16" s="22">
        <v>2000</v>
      </c>
      <c r="AM16" s="22">
        <v>2000</v>
      </c>
      <c r="AN16" s="22">
        <v>2000</v>
      </c>
      <c r="AO16" s="22">
        <v>2000</v>
      </c>
      <c r="AP16" s="22">
        <v>2000</v>
      </c>
      <c r="AQ16" s="22">
        <v>2000</v>
      </c>
      <c r="AR16" s="22">
        <v>0</v>
      </c>
      <c r="AS16" s="22">
        <v>2000</v>
      </c>
      <c r="AT16" s="22">
        <v>0</v>
      </c>
      <c r="AU16" s="22">
        <v>0</v>
      </c>
      <c r="AV16" s="22">
        <v>0</v>
      </c>
      <c r="AW16" s="22">
        <v>2000</v>
      </c>
      <c r="AX16" s="22">
        <v>2200</v>
      </c>
      <c r="AY16" s="22">
        <v>0</v>
      </c>
      <c r="AZ16" s="22">
        <v>2200</v>
      </c>
      <c r="BA16" s="22">
        <v>2200</v>
      </c>
      <c r="BB16" s="22">
        <v>2200</v>
      </c>
      <c r="BC16" s="22">
        <v>2200</v>
      </c>
      <c r="BD16" s="22">
        <v>2200</v>
      </c>
      <c r="BE16" s="22">
        <v>2200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f t="shared" si="14"/>
        <v>1356</v>
      </c>
      <c r="BL16" s="22">
        <f t="shared" si="15"/>
        <v>12000</v>
      </c>
      <c r="BM16" s="22">
        <f t="shared" si="16"/>
        <v>6200</v>
      </c>
      <c r="BN16" s="22">
        <f t="shared" si="17"/>
        <v>13200</v>
      </c>
      <c r="BO16" s="22">
        <f t="shared" si="18"/>
        <v>0</v>
      </c>
    </row>
    <row r="17" s="2" customFormat="1" ht="20.25" customHeight="1" spans="1:67">
      <c r="A17" s="22" t="s">
        <v>94</v>
      </c>
      <c r="B17" s="22" t="s">
        <v>26</v>
      </c>
      <c r="C17" s="22" t="s">
        <v>41</v>
      </c>
      <c r="D17" s="22" t="s">
        <v>34</v>
      </c>
      <c r="E17" s="36" t="s">
        <v>101</v>
      </c>
      <c r="F17" s="24" t="s">
        <v>102</v>
      </c>
      <c r="G17" s="24" t="s">
        <v>81</v>
      </c>
      <c r="H17" s="25">
        <v>29.5</v>
      </c>
      <c r="I17" s="26">
        <v>46098</v>
      </c>
      <c r="J17" s="25">
        <v>6936</v>
      </c>
      <c r="K17" s="25">
        <f t="shared" si="0"/>
        <v>20328</v>
      </c>
      <c r="L17" s="25">
        <f t="shared" si="19"/>
        <v>27264</v>
      </c>
      <c r="M17" s="25">
        <v>15000</v>
      </c>
      <c r="N17" s="25">
        <v>0</v>
      </c>
      <c r="O17" s="25">
        <v>3100</v>
      </c>
      <c r="P17" s="27">
        <v>3500</v>
      </c>
      <c r="Q17" s="25">
        <v>150</v>
      </c>
      <c r="R17" s="28">
        <f t="shared" si="22"/>
        <v>21750</v>
      </c>
      <c r="S17" s="27">
        <f t="shared" si="2"/>
        <v>5514</v>
      </c>
      <c r="T17" s="29">
        <f t="shared" si="3"/>
        <v>21750</v>
      </c>
      <c r="U17" s="25">
        <f t="shared" si="4"/>
        <v>15000</v>
      </c>
      <c r="V17" s="25" t="str">
        <f t="shared" si="5"/>
        <v>0</v>
      </c>
      <c r="W17" s="25">
        <f t="shared" si="6"/>
        <v>3100</v>
      </c>
      <c r="X17" s="25">
        <f t="shared" si="7"/>
        <v>3500</v>
      </c>
      <c r="Y17" s="25">
        <f t="shared" si="8"/>
        <v>150</v>
      </c>
      <c r="Z17" s="25"/>
      <c r="AA17" s="25">
        <f t="shared" si="20"/>
        <v>0</v>
      </c>
      <c r="AB17" s="25">
        <f t="shared" si="9"/>
        <v>0</v>
      </c>
      <c r="AC17" s="25">
        <f t="shared" si="10"/>
        <v>0</v>
      </c>
      <c r="AD17" s="25">
        <f t="shared" si="11"/>
        <v>0</v>
      </c>
      <c r="AE17" s="25">
        <f t="shared" si="12"/>
        <v>0</v>
      </c>
      <c r="AF17" s="25">
        <f t="shared" si="13"/>
        <v>0</v>
      </c>
      <c r="AG17" s="22">
        <v>1728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2200</v>
      </c>
      <c r="AN17" s="22">
        <v>2200</v>
      </c>
      <c r="AO17" s="22">
        <v>2200</v>
      </c>
      <c r="AP17" s="22">
        <v>2200</v>
      </c>
      <c r="AQ17" s="22">
        <v>0</v>
      </c>
      <c r="AR17" s="22">
        <v>0</v>
      </c>
      <c r="AS17" s="22">
        <v>0</v>
      </c>
      <c r="AT17" s="22">
        <v>0</v>
      </c>
      <c r="AU17" s="22">
        <v>1000</v>
      </c>
      <c r="AV17" s="22">
        <v>0</v>
      </c>
      <c r="AW17" s="22">
        <v>0</v>
      </c>
      <c r="AX17" s="22">
        <v>2200</v>
      </c>
      <c r="AY17" s="22">
        <v>0</v>
      </c>
      <c r="AZ17" s="22">
        <v>2200</v>
      </c>
      <c r="BA17" s="22">
        <v>2200</v>
      </c>
      <c r="BB17" s="22">
        <v>2200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f t="shared" si="14"/>
        <v>1728</v>
      </c>
      <c r="BL17" s="22">
        <f t="shared" si="15"/>
        <v>8800</v>
      </c>
      <c r="BM17" s="22">
        <f t="shared" si="16"/>
        <v>3200</v>
      </c>
      <c r="BN17" s="22">
        <f t="shared" si="17"/>
        <v>6600</v>
      </c>
      <c r="BO17" s="22">
        <f t="shared" si="18"/>
        <v>0</v>
      </c>
    </row>
    <row r="18" s="2" customFormat="1" ht="20.25" customHeight="1" spans="1:67">
      <c r="A18" s="22" t="s">
        <v>94</v>
      </c>
      <c r="B18" s="22" t="s">
        <v>26</v>
      </c>
      <c r="C18" s="22" t="s">
        <v>41</v>
      </c>
      <c r="D18" s="22" t="s">
        <v>34</v>
      </c>
      <c r="E18" s="36" t="s">
        <v>103</v>
      </c>
      <c r="F18" s="24" t="s">
        <v>104</v>
      </c>
      <c r="G18" s="24" t="s">
        <v>81</v>
      </c>
      <c r="H18" s="25">
        <v>29.5</v>
      </c>
      <c r="I18" s="26">
        <v>46098</v>
      </c>
      <c r="J18" s="25">
        <v>7900</v>
      </c>
      <c r="K18" s="25">
        <f t="shared" si="0"/>
        <v>23872</v>
      </c>
      <c r="L18" s="25">
        <f t="shared" si="19"/>
        <v>31772</v>
      </c>
      <c r="M18" s="25">
        <v>20000</v>
      </c>
      <c r="N18" s="25">
        <v>0</v>
      </c>
      <c r="O18" s="25">
        <v>4300</v>
      </c>
      <c r="P18" s="27">
        <v>3500</v>
      </c>
      <c r="Q18" s="25">
        <v>150</v>
      </c>
      <c r="R18" s="28">
        <f t="shared" si="22"/>
        <v>27950</v>
      </c>
      <c r="S18" s="27">
        <f t="shared" si="2"/>
        <v>3822</v>
      </c>
      <c r="T18" s="29">
        <f t="shared" si="3"/>
        <v>27950</v>
      </c>
      <c r="U18" s="25">
        <f t="shared" si="4"/>
        <v>20000</v>
      </c>
      <c r="V18" s="25" t="str">
        <f t="shared" si="5"/>
        <v>0</v>
      </c>
      <c r="W18" s="25">
        <f t="shared" si="6"/>
        <v>4300</v>
      </c>
      <c r="X18" s="25">
        <f t="shared" si="7"/>
        <v>3500</v>
      </c>
      <c r="Y18" s="25">
        <f t="shared" si="8"/>
        <v>150</v>
      </c>
      <c r="Z18" s="25"/>
      <c r="AA18" s="25">
        <f t="shared" si="20"/>
        <v>0</v>
      </c>
      <c r="AB18" s="25">
        <f t="shared" si="9"/>
        <v>0</v>
      </c>
      <c r="AC18" s="25">
        <f t="shared" si="10"/>
        <v>0</v>
      </c>
      <c r="AD18" s="25">
        <f t="shared" si="11"/>
        <v>0</v>
      </c>
      <c r="AE18" s="25">
        <f t="shared" si="12"/>
        <v>0</v>
      </c>
      <c r="AF18" s="25">
        <f t="shared" si="13"/>
        <v>0</v>
      </c>
      <c r="AG18" s="22">
        <v>2304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1768</v>
      </c>
      <c r="AO18" s="22">
        <v>2200</v>
      </c>
      <c r="AP18" s="22">
        <v>2200</v>
      </c>
      <c r="AQ18" s="22">
        <v>2200</v>
      </c>
      <c r="AR18" s="22">
        <v>0</v>
      </c>
      <c r="AS18" s="22">
        <v>2200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1000</v>
      </c>
      <c r="BA18" s="22">
        <v>2000</v>
      </c>
      <c r="BB18" s="22">
        <v>2000</v>
      </c>
      <c r="BC18" s="22">
        <v>2000</v>
      </c>
      <c r="BD18" s="22">
        <v>2000</v>
      </c>
      <c r="BE18" s="22">
        <v>2000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f t="shared" si="14"/>
        <v>2304</v>
      </c>
      <c r="BL18" s="22">
        <f t="shared" si="15"/>
        <v>8368</v>
      </c>
      <c r="BM18" s="22">
        <f t="shared" si="16"/>
        <v>2200</v>
      </c>
      <c r="BN18" s="22">
        <f t="shared" si="17"/>
        <v>11000</v>
      </c>
      <c r="BO18" s="22">
        <f t="shared" si="18"/>
        <v>0</v>
      </c>
    </row>
    <row r="19" s="2" customFormat="1" ht="20.25" customHeight="1" spans="1:67">
      <c r="A19" s="22" t="s">
        <v>94</v>
      </c>
      <c r="B19" s="22" t="s">
        <v>26</v>
      </c>
      <c r="C19" s="22" t="s">
        <v>41</v>
      </c>
      <c r="D19" s="22" t="s">
        <v>34</v>
      </c>
      <c r="E19" s="36" t="s">
        <v>105</v>
      </c>
      <c r="F19" s="24" t="s">
        <v>106</v>
      </c>
      <c r="G19" s="24" t="s">
        <v>81</v>
      </c>
      <c r="H19" s="25">
        <v>29.5</v>
      </c>
      <c r="I19" s="26">
        <v>46098</v>
      </c>
      <c r="J19" s="25">
        <v>1615</v>
      </c>
      <c r="K19" s="25">
        <f t="shared" si="0"/>
        <v>42160</v>
      </c>
      <c r="L19" s="25">
        <f t="shared" si="19"/>
        <v>43775</v>
      </c>
      <c r="M19" s="25">
        <v>25000</v>
      </c>
      <c r="N19" s="25">
        <v>0</v>
      </c>
      <c r="O19" s="25">
        <v>3800</v>
      </c>
      <c r="P19" s="27">
        <v>3500</v>
      </c>
      <c r="Q19" s="25">
        <v>150</v>
      </c>
      <c r="R19" s="28">
        <f t="shared" si="22"/>
        <v>32450</v>
      </c>
      <c r="S19" s="27">
        <f t="shared" si="2"/>
        <v>11325</v>
      </c>
      <c r="T19" s="29">
        <f t="shared" si="3"/>
        <v>32450</v>
      </c>
      <c r="U19" s="25">
        <f t="shared" si="4"/>
        <v>25000</v>
      </c>
      <c r="V19" s="25" t="str">
        <f t="shared" si="5"/>
        <v>0</v>
      </c>
      <c r="W19" s="25">
        <f t="shared" si="6"/>
        <v>3800</v>
      </c>
      <c r="X19" s="25">
        <f t="shared" si="7"/>
        <v>3500</v>
      </c>
      <c r="Y19" s="25">
        <f t="shared" si="8"/>
        <v>150</v>
      </c>
      <c r="Z19" s="25"/>
      <c r="AA19" s="25">
        <f t="shared" si="20"/>
        <v>0</v>
      </c>
      <c r="AB19" s="25">
        <f t="shared" si="9"/>
        <v>0</v>
      </c>
      <c r="AC19" s="25">
        <f t="shared" si="10"/>
        <v>0</v>
      </c>
      <c r="AD19" s="25">
        <f t="shared" si="11"/>
        <v>0</v>
      </c>
      <c r="AE19" s="25">
        <f t="shared" si="12"/>
        <v>0</v>
      </c>
      <c r="AF19" s="25">
        <f t="shared" si="13"/>
        <v>0</v>
      </c>
      <c r="AG19" s="22">
        <v>2760</v>
      </c>
      <c r="AH19" s="22">
        <v>0</v>
      </c>
      <c r="AI19" s="22">
        <v>0</v>
      </c>
      <c r="AJ19" s="22">
        <v>3000</v>
      </c>
      <c r="AK19" s="22">
        <v>3000</v>
      </c>
      <c r="AL19" s="22">
        <v>3000</v>
      </c>
      <c r="AM19" s="22">
        <v>0</v>
      </c>
      <c r="AN19" s="22">
        <v>0</v>
      </c>
      <c r="AO19" s="22">
        <v>2500</v>
      </c>
      <c r="AP19" s="22">
        <v>2500</v>
      </c>
      <c r="AQ19" s="22">
        <v>2500</v>
      </c>
      <c r="AR19" s="22">
        <v>0</v>
      </c>
      <c r="AS19" s="22">
        <v>2500</v>
      </c>
      <c r="AT19" s="22">
        <v>2500</v>
      </c>
      <c r="AU19" s="22">
        <v>1000</v>
      </c>
      <c r="AV19" s="22">
        <v>0</v>
      </c>
      <c r="AW19" s="22">
        <v>0</v>
      </c>
      <c r="AX19" s="22">
        <v>2200</v>
      </c>
      <c r="AY19" s="22">
        <v>0</v>
      </c>
      <c r="AZ19" s="22">
        <v>2200</v>
      </c>
      <c r="BA19" s="22">
        <v>2200</v>
      </c>
      <c r="BB19" s="22">
        <v>2200</v>
      </c>
      <c r="BC19" s="22">
        <v>2200</v>
      </c>
      <c r="BD19" s="22">
        <v>2200</v>
      </c>
      <c r="BE19" s="22">
        <v>2200</v>
      </c>
      <c r="BF19" s="22">
        <v>0</v>
      </c>
      <c r="BG19" s="22">
        <v>0</v>
      </c>
      <c r="BH19" s="22">
        <v>0</v>
      </c>
      <c r="BI19" s="22">
        <v>0</v>
      </c>
      <c r="BJ19" s="22">
        <v>1500</v>
      </c>
      <c r="BK19" s="22">
        <f t="shared" si="14"/>
        <v>5760</v>
      </c>
      <c r="BL19" s="22">
        <f t="shared" si="15"/>
        <v>13500</v>
      </c>
      <c r="BM19" s="22">
        <f t="shared" si="16"/>
        <v>8200</v>
      </c>
      <c r="BN19" s="22">
        <f t="shared" si="17"/>
        <v>13200</v>
      </c>
      <c r="BO19" s="22">
        <f t="shared" si="18"/>
        <v>1500</v>
      </c>
    </row>
    <row r="20" s="2" customFormat="1" ht="20.25" customHeight="1" spans="1:67">
      <c r="A20" s="22" t="s">
        <v>94</v>
      </c>
      <c r="B20" s="22" t="s">
        <v>26</v>
      </c>
      <c r="C20" s="22" t="s">
        <v>41</v>
      </c>
      <c r="D20" s="22" t="s">
        <v>34</v>
      </c>
      <c r="E20" s="36" t="s">
        <v>107</v>
      </c>
      <c r="F20" s="24" t="s">
        <v>108</v>
      </c>
      <c r="G20" s="24" t="s">
        <v>81</v>
      </c>
      <c r="H20" s="25">
        <v>29.5</v>
      </c>
      <c r="I20" s="26">
        <v>46098</v>
      </c>
      <c r="J20" s="25">
        <v>10365</v>
      </c>
      <c r="K20" s="25">
        <f t="shared" si="0"/>
        <v>27712</v>
      </c>
      <c r="L20" s="25">
        <f t="shared" si="19"/>
        <v>38077</v>
      </c>
      <c r="M20" s="25">
        <v>15000</v>
      </c>
      <c r="N20" s="25">
        <v>0</v>
      </c>
      <c r="O20" s="25">
        <v>2700</v>
      </c>
      <c r="P20" s="27">
        <v>3200</v>
      </c>
      <c r="Q20" s="25">
        <v>150</v>
      </c>
      <c r="R20" s="28">
        <f t="shared" si="22"/>
        <v>21050</v>
      </c>
      <c r="S20" s="27">
        <f t="shared" si="2"/>
        <v>17027</v>
      </c>
      <c r="T20" s="29">
        <f t="shared" si="3"/>
        <v>21050</v>
      </c>
      <c r="U20" s="25">
        <f t="shared" si="4"/>
        <v>15000</v>
      </c>
      <c r="V20" s="25" t="str">
        <f t="shared" si="5"/>
        <v>0</v>
      </c>
      <c r="W20" s="25">
        <f t="shared" si="6"/>
        <v>2700</v>
      </c>
      <c r="X20" s="25">
        <f t="shared" si="7"/>
        <v>3200</v>
      </c>
      <c r="Y20" s="25">
        <f t="shared" si="8"/>
        <v>150</v>
      </c>
      <c r="Z20" s="25"/>
      <c r="AA20" s="25">
        <f t="shared" si="20"/>
        <v>0</v>
      </c>
      <c r="AB20" s="25">
        <f t="shared" si="9"/>
        <v>0</v>
      </c>
      <c r="AC20" s="25">
        <f t="shared" si="10"/>
        <v>0</v>
      </c>
      <c r="AD20" s="25">
        <f t="shared" si="11"/>
        <v>0</v>
      </c>
      <c r="AE20" s="25">
        <f t="shared" si="12"/>
        <v>0</v>
      </c>
      <c r="AF20" s="25">
        <f t="shared" si="13"/>
        <v>0</v>
      </c>
      <c r="AG20" s="22">
        <v>1212</v>
      </c>
      <c r="AH20" s="22">
        <v>0</v>
      </c>
      <c r="AI20" s="22">
        <v>0</v>
      </c>
      <c r="AJ20" s="22">
        <v>0</v>
      </c>
      <c r="AK20" s="22">
        <v>0</v>
      </c>
      <c r="AL20" s="22">
        <v>2200</v>
      </c>
      <c r="AM20" s="22">
        <v>2200</v>
      </c>
      <c r="AN20" s="22">
        <v>2200</v>
      </c>
      <c r="AO20" s="22">
        <v>2200</v>
      </c>
      <c r="AP20" s="22">
        <v>2200</v>
      </c>
      <c r="AQ20" s="22">
        <v>2200</v>
      </c>
      <c r="AR20" s="22">
        <v>0</v>
      </c>
      <c r="AS20" s="22">
        <v>2200</v>
      </c>
      <c r="AT20" s="22">
        <v>2200</v>
      </c>
      <c r="AU20" s="22">
        <v>2200</v>
      </c>
      <c r="AV20" s="22">
        <v>2200</v>
      </c>
      <c r="AW20" s="22">
        <v>0</v>
      </c>
      <c r="AX20" s="22">
        <v>0</v>
      </c>
      <c r="AY20" s="22">
        <v>0</v>
      </c>
      <c r="AZ20" s="22">
        <v>0</v>
      </c>
      <c r="BA20" s="22">
        <v>2200</v>
      </c>
      <c r="BB20" s="22">
        <v>2200</v>
      </c>
      <c r="BC20" s="22">
        <v>100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0</v>
      </c>
      <c r="BK20" s="22">
        <f t="shared" si="14"/>
        <v>1212</v>
      </c>
      <c r="BL20" s="22">
        <f t="shared" si="15"/>
        <v>13200</v>
      </c>
      <c r="BM20" s="22">
        <f t="shared" si="16"/>
        <v>8800</v>
      </c>
      <c r="BN20" s="22">
        <f t="shared" si="17"/>
        <v>4500</v>
      </c>
      <c r="BO20" s="22">
        <f t="shared" si="18"/>
        <v>0</v>
      </c>
    </row>
    <row r="21" s="2" customFormat="1" ht="20.25" customHeight="1" spans="1:67">
      <c r="A21" s="22" t="s">
        <v>94</v>
      </c>
      <c r="B21" s="22" t="s">
        <v>26</v>
      </c>
      <c r="C21" s="22" t="s">
        <v>41</v>
      </c>
      <c r="D21" s="22" t="s">
        <v>32</v>
      </c>
      <c r="E21" s="32" t="s">
        <v>109</v>
      </c>
      <c r="F21" s="24" t="s">
        <v>110</v>
      </c>
      <c r="G21" s="24" t="s">
        <v>111</v>
      </c>
      <c r="H21" s="25">
        <v>44.5</v>
      </c>
      <c r="I21" s="26">
        <v>46106</v>
      </c>
      <c r="J21" s="25">
        <v>5255</v>
      </c>
      <c r="K21" s="25">
        <f t="shared" si="0"/>
        <v>3000</v>
      </c>
      <c r="L21" s="25">
        <f t="shared" si="19"/>
        <v>8255</v>
      </c>
      <c r="M21" s="25">
        <v>5220</v>
      </c>
      <c r="N21" s="25">
        <v>1000</v>
      </c>
      <c r="O21" s="25">
        <v>0</v>
      </c>
      <c r="P21" s="27">
        <v>1200</v>
      </c>
      <c r="Q21" s="25">
        <v>0</v>
      </c>
      <c r="R21" s="28">
        <f t="shared" si="22"/>
        <v>7420</v>
      </c>
      <c r="S21" s="27">
        <f t="shared" si="2"/>
        <v>835</v>
      </c>
      <c r="T21" s="29">
        <f t="shared" si="3"/>
        <v>7420</v>
      </c>
      <c r="U21" s="25">
        <f t="shared" si="4"/>
        <v>5220</v>
      </c>
      <c r="V21" s="25">
        <f t="shared" si="5"/>
        <v>1000</v>
      </c>
      <c r="W21" s="25" t="str">
        <f t="shared" si="6"/>
        <v>0</v>
      </c>
      <c r="X21" s="25">
        <f t="shared" si="7"/>
        <v>1200</v>
      </c>
      <c r="Y21" s="25" t="str">
        <f t="shared" si="8"/>
        <v>0</v>
      </c>
      <c r="Z21" s="25"/>
      <c r="AA21" s="25">
        <f t="shared" si="20"/>
        <v>0</v>
      </c>
      <c r="AB21" s="25">
        <f t="shared" si="9"/>
        <v>0</v>
      </c>
      <c r="AC21" s="25">
        <f t="shared" si="10"/>
        <v>0</v>
      </c>
      <c r="AD21" s="25">
        <f t="shared" si="11"/>
        <v>0</v>
      </c>
      <c r="AE21" s="25">
        <f t="shared" si="12"/>
        <v>0</v>
      </c>
      <c r="AF21" s="25">
        <f t="shared" si="13"/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1500</v>
      </c>
      <c r="AP21" s="22">
        <v>1500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f t="shared" si="14"/>
        <v>0</v>
      </c>
      <c r="BL21" s="22">
        <f t="shared" si="15"/>
        <v>3000</v>
      </c>
      <c r="BM21" s="22">
        <f t="shared" si="16"/>
        <v>0</v>
      </c>
      <c r="BN21" s="22">
        <f t="shared" si="17"/>
        <v>0</v>
      </c>
      <c r="BO21" s="22">
        <f t="shared" si="18"/>
        <v>0</v>
      </c>
    </row>
    <row r="22" s="2" customFormat="1" ht="20.25" customHeight="1" spans="1:67">
      <c r="A22" s="22" t="s">
        <v>94</v>
      </c>
      <c r="B22" s="22" t="s">
        <v>26</v>
      </c>
      <c r="C22" s="22" t="s">
        <v>41</v>
      </c>
      <c r="D22" s="22" t="s">
        <v>32</v>
      </c>
      <c r="E22" s="32" t="s">
        <v>112</v>
      </c>
      <c r="F22" s="24" t="s">
        <v>113</v>
      </c>
      <c r="G22" s="24" t="s">
        <v>111</v>
      </c>
      <c r="H22" s="25">
        <v>44.5</v>
      </c>
      <c r="I22" s="26">
        <v>46106</v>
      </c>
      <c r="J22" s="25">
        <v>8538</v>
      </c>
      <c r="K22" s="25">
        <f t="shared" si="0"/>
        <v>3000</v>
      </c>
      <c r="L22" s="25">
        <f t="shared" si="19"/>
        <v>11538</v>
      </c>
      <c r="M22" s="25">
        <v>5080</v>
      </c>
      <c r="N22" s="25">
        <v>1000</v>
      </c>
      <c r="O22" s="25">
        <v>0</v>
      </c>
      <c r="P22" s="27">
        <v>1200</v>
      </c>
      <c r="Q22" s="25">
        <v>0</v>
      </c>
      <c r="R22" s="28">
        <f t="shared" si="22"/>
        <v>7280</v>
      </c>
      <c r="S22" s="27">
        <f t="shared" si="2"/>
        <v>4258</v>
      </c>
      <c r="T22" s="29">
        <f t="shared" si="3"/>
        <v>7280</v>
      </c>
      <c r="U22" s="25">
        <f t="shared" si="4"/>
        <v>5080</v>
      </c>
      <c r="V22" s="25">
        <f t="shared" si="5"/>
        <v>1000</v>
      </c>
      <c r="W22" s="25" t="str">
        <f t="shared" si="6"/>
        <v>0</v>
      </c>
      <c r="X22" s="25">
        <f t="shared" si="7"/>
        <v>1200</v>
      </c>
      <c r="Y22" s="25" t="str">
        <f t="shared" si="8"/>
        <v>0</v>
      </c>
      <c r="Z22" s="25"/>
      <c r="AA22" s="25">
        <f t="shared" si="20"/>
        <v>0</v>
      </c>
      <c r="AB22" s="25">
        <f t="shared" si="9"/>
        <v>0</v>
      </c>
      <c r="AC22" s="25">
        <f t="shared" si="10"/>
        <v>0</v>
      </c>
      <c r="AD22" s="25">
        <f t="shared" si="11"/>
        <v>0</v>
      </c>
      <c r="AE22" s="25">
        <f t="shared" si="12"/>
        <v>0</v>
      </c>
      <c r="AF22" s="25">
        <f t="shared" si="13"/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1500</v>
      </c>
      <c r="AQ22" s="22">
        <v>1500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f t="shared" si="14"/>
        <v>0</v>
      </c>
      <c r="BL22" s="22">
        <f t="shared" si="15"/>
        <v>3000</v>
      </c>
      <c r="BM22" s="22">
        <f t="shared" si="16"/>
        <v>0</v>
      </c>
      <c r="BN22" s="22">
        <f t="shared" si="17"/>
        <v>0</v>
      </c>
      <c r="BO22" s="22">
        <f t="shared" si="18"/>
        <v>0</v>
      </c>
    </row>
    <row r="23" s="2" customFormat="1" ht="20.25" customHeight="1" spans="1:67">
      <c r="A23" s="22" t="s">
        <v>94</v>
      </c>
      <c r="B23" s="22" t="s">
        <v>26</v>
      </c>
      <c r="C23" s="22" t="s">
        <v>41</v>
      </c>
      <c r="D23" s="22" t="s">
        <v>32</v>
      </c>
      <c r="E23" s="32" t="s">
        <v>114</v>
      </c>
      <c r="F23" s="24" t="s">
        <v>115</v>
      </c>
      <c r="G23" s="24" t="s">
        <v>81</v>
      </c>
      <c r="H23" s="25">
        <v>44.5</v>
      </c>
      <c r="I23" s="26">
        <v>46100</v>
      </c>
      <c r="J23" s="25">
        <v>22698</v>
      </c>
      <c r="K23" s="25">
        <f t="shared" si="0"/>
        <v>0</v>
      </c>
      <c r="L23" s="25">
        <f t="shared" si="19"/>
        <v>22698</v>
      </c>
      <c r="M23" s="25">
        <v>5440</v>
      </c>
      <c r="N23" s="25">
        <v>1000</v>
      </c>
      <c r="O23" s="25">
        <v>200</v>
      </c>
      <c r="P23" s="27">
        <v>500</v>
      </c>
      <c r="Q23" s="25">
        <v>0</v>
      </c>
      <c r="R23" s="28">
        <f t="shared" si="22"/>
        <v>7140</v>
      </c>
      <c r="S23" s="27">
        <f t="shared" si="2"/>
        <v>15558</v>
      </c>
      <c r="T23" s="29">
        <f t="shared" si="3"/>
        <v>7140</v>
      </c>
      <c r="U23" s="25">
        <f t="shared" si="4"/>
        <v>5440</v>
      </c>
      <c r="V23" s="25">
        <f t="shared" si="5"/>
        <v>1000</v>
      </c>
      <c r="W23" s="25">
        <f t="shared" si="6"/>
        <v>200</v>
      </c>
      <c r="X23" s="25">
        <f t="shared" si="7"/>
        <v>500</v>
      </c>
      <c r="Y23" s="25" t="str">
        <f t="shared" si="8"/>
        <v>0</v>
      </c>
      <c r="Z23" s="25"/>
      <c r="AA23" s="25">
        <f t="shared" si="20"/>
        <v>0</v>
      </c>
      <c r="AB23" s="25">
        <f t="shared" si="9"/>
        <v>0</v>
      </c>
      <c r="AC23" s="25">
        <f t="shared" si="10"/>
        <v>0</v>
      </c>
      <c r="AD23" s="25">
        <f t="shared" si="11"/>
        <v>0</v>
      </c>
      <c r="AE23" s="25">
        <f t="shared" si="12"/>
        <v>0</v>
      </c>
      <c r="AF23" s="25">
        <f t="shared" si="13"/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f t="shared" si="14"/>
        <v>0</v>
      </c>
      <c r="BL23" s="22">
        <f t="shared" si="15"/>
        <v>0</v>
      </c>
      <c r="BM23" s="22">
        <f t="shared" si="16"/>
        <v>0</v>
      </c>
      <c r="BN23" s="22">
        <f t="shared" si="17"/>
        <v>0</v>
      </c>
      <c r="BO23" s="22">
        <f t="shared" si="18"/>
        <v>0</v>
      </c>
    </row>
    <row r="24" s="2" customFormat="1" ht="20.25" customHeight="1" spans="1:67">
      <c r="A24" s="22" t="s">
        <v>94</v>
      </c>
      <c r="B24" s="22" t="s">
        <v>26</v>
      </c>
      <c r="C24" s="22" t="s">
        <v>41</v>
      </c>
      <c r="D24" s="22" t="s">
        <v>32</v>
      </c>
      <c r="E24" s="32" t="s">
        <v>116</v>
      </c>
      <c r="F24" s="24" t="s">
        <v>117</v>
      </c>
      <c r="G24" s="24" t="s">
        <v>111</v>
      </c>
      <c r="H24" s="25">
        <v>44.5</v>
      </c>
      <c r="I24" s="26">
        <v>46106</v>
      </c>
      <c r="J24" s="25">
        <v>9006</v>
      </c>
      <c r="K24" s="25">
        <f t="shared" si="0"/>
        <v>3000</v>
      </c>
      <c r="L24" s="25">
        <f t="shared" si="19"/>
        <v>12006</v>
      </c>
      <c r="M24" s="25">
        <v>5320</v>
      </c>
      <c r="N24" s="25">
        <v>1000</v>
      </c>
      <c r="O24" s="25">
        <v>0</v>
      </c>
      <c r="P24" s="27">
        <v>500</v>
      </c>
      <c r="Q24" s="25">
        <v>0</v>
      </c>
      <c r="R24" s="28">
        <f t="shared" ref="R24:R27" si="23">SUM(M24:Q24)</f>
        <v>6820</v>
      </c>
      <c r="S24" s="27">
        <f t="shared" si="2"/>
        <v>5186</v>
      </c>
      <c r="T24" s="29">
        <f t="shared" si="3"/>
        <v>6820</v>
      </c>
      <c r="U24" s="25">
        <f t="shared" si="4"/>
        <v>5320</v>
      </c>
      <c r="V24" s="25">
        <f t="shared" si="5"/>
        <v>1000</v>
      </c>
      <c r="W24" s="25" t="str">
        <f t="shared" si="6"/>
        <v>0</v>
      </c>
      <c r="X24" s="25">
        <f t="shared" si="7"/>
        <v>500</v>
      </c>
      <c r="Y24" s="25" t="str">
        <f t="shared" si="8"/>
        <v>0</v>
      </c>
      <c r="Z24" s="25"/>
      <c r="AA24" s="25">
        <f t="shared" si="20"/>
        <v>0</v>
      </c>
      <c r="AB24" s="25">
        <f t="shared" si="9"/>
        <v>0</v>
      </c>
      <c r="AC24" s="25">
        <f t="shared" si="10"/>
        <v>0</v>
      </c>
      <c r="AD24" s="25">
        <f t="shared" si="11"/>
        <v>0</v>
      </c>
      <c r="AE24" s="25">
        <f t="shared" si="12"/>
        <v>0</v>
      </c>
      <c r="AF24" s="25">
        <f t="shared" si="13"/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3000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f t="shared" si="14"/>
        <v>0</v>
      </c>
      <c r="BL24" s="22">
        <f t="shared" si="15"/>
        <v>3000</v>
      </c>
      <c r="BM24" s="22">
        <f t="shared" si="16"/>
        <v>0</v>
      </c>
      <c r="BN24" s="22">
        <f t="shared" si="17"/>
        <v>0</v>
      </c>
      <c r="BO24" s="22">
        <f t="shared" si="18"/>
        <v>0</v>
      </c>
    </row>
    <row r="25" s="2" customFormat="1" ht="20.25" customHeight="1" spans="1:67">
      <c r="A25" s="22" t="s">
        <v>94</v>
      </c>
      <c r="B25" s="22" t="s">
        <v>26</v>
      </c>
      <c r="C25" s="22" t="s">
        <v>41</v>
      </c>
      <c r="D25" s="22" t="s">
        <v>32</v>
      </c>
      <c r="E25" s="32" t="s">
        <v>118</v>
      </c>
      <c r="F25" s="24" t="s">
        <v>119</v>
      </c>
      <c r="G25" s="24" t="s">
        <v>111</v>
      </c>
      <c r="H25" s="25">
        <v>44.5</v>
      </c>
      <c r="I25" s="26">
        <v>46106</v>
      </c>
      <c r="J25" s="25">
        <v>8614</v>
      </c>
      <c r="K25" s="25">
        <f t="shared" si="0"/>
        <v>3000</v>
      </c>
      <c r="L25" s="25">
        <f t="shared" si="19"/>
        <v>11614</v>
      </c>
      <c r="M25" s="25">
        <v>5240</v>
      </c>
      <c r="N25" s="25">
        <v>1000</v>
      </c>
      <c r="O25" s="25">
        <v>0</v>
      </c>
      <c r="P25" s="27">
        <v>500</v>
      </c>
      <c r="Q25" s="25">
        <v>0</v>
      </c>
      <c r="R25" s="28">
        <f t="shared" si="23"/>
        <v>6740</v>
      </c>
      <c r="S25" s="27">
        <f t="shared" si="2"/>
        <v>4874</v>
      </c>
      <c r="T25" s="29">
        <f t="shared" si="3"/>
        <v>6740</v>
      </c>
      <c r="U25" s="25">
        <f t="shared" si="4"/>
        <v>5240</v>
      </c>
      <c r="V25" s="25">
        <f t="shared" si="5"/>
        <v>1000</v>
      </c>
      <c r="W25" s="25" t="str">
        <f t="shared" si="6"/>
        <v>0</v>
      </c>
      <c r="X25" s="25">
        <f t="shared" si="7"/>
        <v>500</v>
      </c>
      <c r="Y25" s="25" t="str">
        <f t="shared" si="8"/>
        <v>0</v>
      </c>
      <c r="Z25" s="25"/>
      <c r="AA25" s="25">
        <f t="shared" si="20"/>
        <v>0</v>
      </c>
      <c r="AB25" s="25">
        <f t="shared" si="9"/>
        <v>0</v>
      </c>
      <c r="AC25" s="25">
        <f t="shared" si="10"/>
        <v>0</v>
      </c>
      <c r="AD25" s="25">
        <f t="shared" si="11"/>
        <v>0</v>
      </c>
      <c r="AE25" s="25">
        <f t="shared" si="12"/>
        <v>0</v>
      </c>
      <c r="AF25" s="25">
        <f t="shared" si="13"/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1500</v>
      </c>
      <c r="AT25" s="22">
        <v>1500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f t="shared" si="14"/>
        <v>0</v>
      </c>
      <c r="BL25" s="22">
        <f t="shared" si="15"/>
        <v>0</v>
      </c>
      <c r="BM25" s="22">
        <f t="shared" si="16"/>
        <v>3000</v>
      </c>
      <c r="BN25" s="22">
        <f t="shared" si="17"/>
        <v>0</v>
      </c>
      <c r="BO25" s="22">
        <f t="shared" si="18"/>
        <v>0</v>
      </c>
    </row>
    <row r="26" s="2" customFormat="1" ht="20.25" customHeight="1" spans="1:67">
      <c r="A26" s="22" t="s">
        <v>94</v>
      </c>
      <c r="B26" s="22" t="s">
        <v>26</v>
      </c>
      <c r="C26" s="22" t="s">
        <v>41</v>
      </c>
      <c r="D26" s="22" t="s">
        <v>32</v>
      </c>
      <c r="E26" s="36">
        <v>790296</v>
      </c>
      <c r="F26" s="24" t="s">
        <v>120</v>
      </c>
      <c r="G26" s="24" t="s">
        <v>111</v>
      </c>
      <c r="H26" s="25">
        <v>89.5</v>
      </c>
      <c r="I26" s="37"/>
      <c r="J26" s="25">
        <v>620</v>
      </c>
      <c r="K26" s="25">
        <f t="shared" si="0"/>
        <v>0</v>
      </c>
      <c r="L26" s="25">
        <f t="shared" si="19"/>
        <v>620</v>
      </c>
      <c r="M26" s="25">
        <v>48</v>
      </c>
      <c r="N26" s="25">
        <v>0</v>
      </c>
      <c r="O26" s="25">
        <v>0</v>
      </c>
      <c r="P26" s="27">
        <v>0</v>
      </c>
      <c r="Q26" s="25">
        <v>0</v>
      </c>
      <c r="R26" s="28">
        <f t="shared" si="23"/>
        <v>48</v>
      </c>
      <c r="S26" s="27">
        <f t="shared" si="2"/>
        <v>572</v>
      </c>
      <c r="T26" s="29">
        <f t="shared" si="3"/>
        <v>48</v>
      </c>
      <c r="U26" s="25">
        <f t="shared" si="4"/>
        <v>48</v>
      </c>
      <c r="V26" s="25" t="str">
        <f t="shared" si="5"/>
        <v>0</v>
      </c>
      <c r="W26" s="25" t="str">
        <f t="shared" si="6"/>
        <v>0</v>
      </c>
      <c r="X26" s="25" t="str">
        <f t="shared" si="7"/>
        <v>0</v>
      </c>
      <c r="Y26" s="25" t="str">
        <f t="shared" si="8"/>
        <v>0</v>
      </c>
      <c r="Z26" s="25"/>
      <c r="AA26" s="25">
        <f t="shared" si="20"/>
        <v>0</v>
      </c>
      <c r="AB26" s="25">
        <f t="shared" si="9"/>
        <v>0</v>
      </c>
      <c r="AC26" s="25">
        <f t="shared" si="10"/>
        <v>0</v>
      </c>
      <c r="AD26" s="25">
        <f t="shared" si="11"/>
        <v>0</v>
      </c>
      <c r="AE26" s="25">
        <f t="shared" si="12"/>
        <v>0</v>
      </c>
      <c r="AF26" s="25">
        <f t="shared" si="13"/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f t="shared" si="14"/>
        <v>0</v>
      </c>
      <c r="BL26" s="22">
        <f t="shared" si="15"/>
        <v>0</v>
      </c>
      <c r="BM26" s="22">
        <f t="shared" si="16"/>
        <v>0</v>
      </c>
      <c r="BN26" s="22">
        <f t="shared" si="17"/>
        <v>0</v>
      </c>
      <c r="BO26" s="22">
        <f t="shared" si="18"/>
        <v>0</v>
      </c>
    </row>
    <row r="27" s="2" customFormat="1" ht="20.25" customHeight="1" spans="1:67">
      <c r="A27" s="22" t="s">
        <v>94</v>
      </c>
      <c r="B27" s="22" t="s">
        <v>26</v>
      </c>
      <c r="C27" s="22" t="s">
        <v>41</v>
      </c>
      <c r="D27" s="23" t="s">
        <v>36</v>
      </c>
      <c r="E27" s="36">
        <v>790862</v>
      </c>
      <c r="F27" s="24" t="s">
        <v>121</v>
      </c>
      <c r="G27" s="24" t="s">
        <v>81</v>
      </c>
      <c r="H27" s="25">
        <v>84.5</v>
      </c>
      <c r="I27" s="37">
        <v>46152</v>
      </c>
      <c r="J27" s="25">
        <v>0</v>
      </c>
      <c r="K27" s="25">
        <f t="shared" si="0"/>
        <v>10000</v>
      </c>
      <c r="L27" s="25">
        <f t="shared" si="19"/>
        <v>10000</v>
      </c>
      <c r="M27" s="25">
        <v>8000</v>
      </c>
      <c r="N27" s="25">
        <v>800</v>
      </c>
      <c r="O27" s="25">
        <v>1500</v>
      </c>
      <c r="P27" s="27">
        <v>5960</v>
      </c>
      <c r="Q27" s="25">
        <v>50</v>
      </c>
      <c r="R27" s="28">
        <f t="shared" si="23"/>
        <v>16310</v>
      </c>
      <c r="S27" s="27">
        <f t="shared" si="2"/>
        <v>-6310</v>
      </c>
      <c r="T27" s="29">
        <f t="shared" si="3"/>
        <v>10000</v>
      </c>
      <c r="U27" s="25">
        <f t="shared" si="4"/>
        <v>4904.96627835684</v>
      </c>
      <c r="V27" s="25">
        <f t="shared" si="5"/>
        <v>490.496627835684</v>
      </c>
      <c r="W27" s="25">
        <f t="shared" si="6"/>
        <v>919.681177191907</v>
      </c>
      <c r="X27" s="25">
        <f t="shared" si="7"/>
        <v>3654.19987737584</v>
      </c>
      <c r="Y27" s="25">
        <f t="shared" si="8"/>
        <v>30.6560392397302</v>
      </c>
      <c r="Z27" s="25"/>
      <c r="AA27" s="25">
        <f t="shared" si="20"/>
        <v>-6310</v>
      </c>
      <c r="AB27" s="25">
        <f t="shared" si="9"/>
        <v>-3095.03372164316</v>
      </c>
      <c r="AC27" s="25">
        <f t="shared" si="10"/>
        <v>-309.503372164316</v>
      </c>
      <c r="AD27" s="25">
        <f t="shared" si="11"/>
        <v>-580.318822808093</v>
      </c>
      <c r="AE27" s="25">
        <f t="shared" si="12"/>
        <v>-2305.80012262416</v>
      </c>
      <c r="AF27" s="25">
        <f t="shared" si="13"/>
        <v>-19.3439607602698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1000</v>
      </c>
      <c r="BA27" s="22">
        <v>1000</v>
      </c>
      <c r="BB27" s="22">
        <v>1000</v>
      </c>
      <c r="BC27" s="22">
        <v>1000</v>
      </c>
      <c r="BD27" s="22">
        <v>1000</v>
      </c>
      <c r="BE27" s="22">
        <v>1000</v>
      </c>
      <c r="BF27" s="22">
        <v>0</v>
      </c>
      <c r="BG27" s="22">
        <v>1000</v>
      </c>
      <c r="BH27" s="22">
        <v>1000</v>
      </c>
      <c r="BI27" s="22">
        <v>1000</v>
      </c>
      <c r="BJ27" s="22">
        <v>1000</v>
      </c>
      <c r="BK27" s="22">
        <f t="shared" si="14"/>
        <v>0</v>
      </c>
      <c r="BL27" s="22">
        <f t="shared" si="15"/>
        <v>0</v>
      </c>
      <c r="BM27" s="22">
        <f t="shared" si="16"/>
        <v>0</v>
      </c>
      <c r="BN27" s="22">
        <f t="shared" si="17"/>
        <v>6000</v>
      </c>
      <c r="BO27" s="22">
        <f t="shared" si="18"/>
        <v>4000</v>
      </c>
    </row>
    <row r="28" s="2" customFormat="1" ht="20.25" customHeight="1" spans="1:67">
      <c r="A28" s="22" t="s">
        <v>94</v>
      </c>
      <c r="B28" s="22" t="s">
        <v>26</v>
      </c>
      <c r="C28" s="22" t="s">
        <v>41</v>
      </c>
      <c r="D28" s="23" t="s">
        <v>36</v>
      </c>
      <c r="E28" s="36">
        <v>790863</v>
      </c>
      <c r="F28" s="24" t="s">
        <v>122</v>
      </c>
      <c r="G28" s="24" t="s">
        <v>81</v>
      </c>
      <c r="H28" s="25">
        <v>84.5</v>
      </c>
      <c r="I28" s="37">
        <v>46152</v>
      </c>
      <c r="J28" s="25">
        <v>0</v>
      </c>
      <c r="K28" s="25">
        <f t="shared" si="0"/>
        <v>12500</v>
      </c>
      <c r="L28" s="25">
        <f t="shared" si="19"/>
        <v>12500</v>
      </c>
      <c r="M28" s="25">
        <v>8000</v>
      </c>
      <c r="N28" s="25">
        <v>800</v>
      </c>
      <c r="O28" s="25">
        <v>1400</v>
      </c>
      <c r="P28" s="27">
        <v>3960</v>
      </c>
      <c r="Q28" s="25">
        <v>50</v>
      </c>
      <c r="R28" s="28">
        <f t="shared" ref="R28:R30" si="24">SUM(M28:Q28)</f>
        <v>14210</v>
      </c>
      <c r="S28" s="27">
        <f t="shared" si="2"/>
        <v>-1710</v>
      </c>
      <c r="T28" s="29">
        <f t="shared" si="3"/>
        <v>12500</v>
      </c>
      <c r="U28" s="25">
        <f t="shared" si="4"/>
        <v>7037.29767769177</v>
      </c>
      <c r="V28" s="25">
        <f t="shared" si="5"/>
        <v>703.729767769177</v>
      </c>
      <c r="W28" s="25">
        <f t="shared" si="6"/>
        <v>1231.52709359606</v>
      </c>
      <c r="X28" s="25">
        <f t="shared" si="7"/>
        <v>3483.46235045742</v>
      </c>
      <c r="Y28" s="25">
        <f t="shared" si="8"/>
        <v>43.9831104855735</v>
      </c>
      <c r="Z28" s="25"/>
      <c r="AA28" s="25">
        <f t="shared" si="20"/>
        <v>-1710</v>
      </c>
      <c r="AB28" s="25">
        <f t="shared" si="9"/>
        <v>-962.702322308234</v>
      </c>
      <c r="AC28" s="25">
        <f t="shared" si="10"/>
        <v>-96.2702322308234</v>
      </c>
      <c r="AD28" s="25">
        <f t="shared" si="11"/>
        <v>-168.472906403941</v>
      </c>
      <c r="AE28" s="25">
        <f t="shared" si="12"/>
        <v>-476.537649542575</v>
      </c>
      <c r="AF28" s="25">
        <f t="shared" si="13"/>
        <v>-6.01688951442646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1000</v>
      </c>
      <c r="BB28" s="22">
        <v>1000</v>
      </c>
      <c r="BC28" s="22">
        <v>1500</v>
      </c>
      <c r="BD28" s="22">
        <v>1500</v>
      </c>
      <c r="BE28" s="22">
        <v>1500</v>
      </c>
      <c r="BF28" s="22">
        <v>0</v>
      </c>
      <c r="BG28" s="22">
        <v>1500</v>
      </c>
      <c r="BH28" s="22">
        <v>1500</v>
      </c>
      <c r="BI28" s="22">
        <v>1500</v>
      </c>
      <c r="BJ28" s="22">
        <v>1500</v>
      </c>
      <c r="BK28" s="22">
        <f t="shared" si="14"/>
        <v>0</v>
      </c>
      <c r="BL28" s="22">
        <f t="shared" si="15"/>
        <v>0</v>
      </c>
      <c r="BM28" s="22">
        <f t="shared" si="16"/>
        <v>0</v>
      </c>
      <c r="BN28" s="22">
        <f t="shared" si="17"/>
        <v>6500</v>
      </c>
      <c r="BO28" s="22">
        <f t="shared" si="18"/>
        <v>6000</v>
      </c>
    </row>
    <row r="29" s="2" customFormat="1" ht="20.25" customHeight="1" spans="1:67">
      <c r="A29" s="22" t="s">
        <v>94</v>
      </c>
      <c r="B29" s="22" t="s">
        <v>26</v>
      </c>
      <c r="C29" s="22" t="s">
        <v>41</v>
      </c>
      <c r="D29" s="23" t="s">
        <v>36</v>
      </c>
      <c r="E29" s="36">
        <v>790866</v>
      </c>
      <c r="F29" s="24" t="s">
        <v>123</v>
      </c>
      <c r="G29" s="24" t="s">
        <v>81</v>
      </c>
      <c r="H29" s="25">
        <v>149.5</v>
      </c>
      <c r="I29" s="37">
        <v>46152</v>
      </c>
      <c r="J29" s="25">
        <v>0</v>
      </c>
      <c r="K29" s="25">
        <f t="shared" si="0"/>
        <v>4000</v>
      </c>
      <c r="L29" s="25">
        <f t="shared" si="19"/>
        <v>4000</v>
      </c>
      <c r="M29" s="25">
        <v>4000</v>
      </c>
      <c r="N29" s="25">
        <v>400</v>
      </c>
      <c r="O29" s="25">
        <v>1200</v>
      </c>
      <c r="P29" s="27">
        <v>500</v>
      </c>
      <c r="Q29" s="25">
        <v>50</v>
      </c>
      <c r="R29" s="28">
        <f t="shared" si="24"/>
        <v>6150</v>
      </c>
      <c r="S29" s="27">
        <f t="shared" si="2"/>
        <v>-2150</v>
      </c>
      <c r="T29" s="29">
        <f t="shared" si="3"/>
        <v>4000</v>
      </c>
      <c r="U29" s="25">
        <f t="shared" si="4"/>
        <v>2601.62601626016</v>
      </c>
      <c r="V29" s="25">
        <f t="shared" si="5"/>
        <v>260.162601626016</v>
      </c>
      <c r="W29" s="25">
        <f t="shared" si="6"/>
        <v>780.487804878049</v>
      </c>
      <c r="X29" s="25">
        <f t="shared" si="7"/>
        <v>325.20325203252</v>
      </c>
      <c r="Y29" s="25">
        <f t="shared" si="8"/>
        <v>32.520325203252</v>
      </c>
      <c r="Z29" s="25"/>
      <c r="AA29" s="25">
        <f t="shared" si="20"/>
        <v>-2150</v>
      </c>
      <c r="AB29" s="25">
        <f t="shared" si="9"/>
        <v>-1398.37398373984</v>
      </c>
      <c r="AC29" s="25">
        <f t="shared" si="10"/>
        <v>-139.837398373984</v>
      </c>
      <c r="AD29" s="25">
        <f t="shared" si="11"/>
        <v>-419.512195121951</v>
      </c>
      <c r="AE29" s="25">
        <f t="shared" si="12"/>
        <v>-174.79674796748</v>
      </c>
      <c r="AF29" s="25">
        <f t="shared" si="13"/>
        <v>-17.479674796748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1000</v>
      </c>
      <c r="AV29" s="22">
        <v>1500</v>
      </c>
      <c r="AW29" s="22">
        <v>1500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f t="shared" si="14"/>
        <v>0</v>
      </c>
      <c r="BL29" s="22">
        <f t="shared" si="15"/>
        <v>0</v>
      </c>
      <c r="BM29" s="22">
        <f t="shared" si="16"/>
        <v>4000</v>
      </c>
      <c r="BN29" s="22">
        <f t="shared" si="17"/>
        <v>0</v>
      </c>
      <c r="BO29" s="22">
        <f t="shared" si="18"/>
        <v>0</v>
      </c>
    </row>
    <row r="30" s="2" customFormat="1" ht="20.25" customHeight="1" spans="1:67">
      <c r="A30" s="22" t="s">
        <v>94</v>
      </c>
      <c r="B30" s="22" t="s">
        <v>26</v>
      </c>
      <c r="C30" s="22" t="s">
        <v>41</v>
      </c>
      <c r="D30" s="23" t="s">
        <v>36</v>
      </c>
      <c r="E30" s="36">
        <v>790867</v>
      </c>
      <c r="F30" s="24" t="s">
        <v>124</v>
      </c>
      <c r="G30" s="24" t="s">
        <v>81</v>
      </c>
      <c r="H30" s="25">
        <v>174.5</v>
      </c>
      <c r="I30" s="37">
        <v>46152</v>
      </c>
      <c r="J30" s="25">
        <v>0</v>
      </c>
      <c r="K30" s="25">
        <f t="shared" si="0"/>
        <v>3000</v>
      </c>
      <c r="L30" s="25">
        <f t="shared" si="19"/>
        <v>3000</v>
      </c>
      <c r="M30" s="25">
        <v>0</v>
      </c>
      <c r="N30" s="25">
        <v>0</v>
      </c>
      <c r="O30" s="25">
        <v>0</v>
      </c>
      <c r="P30" s="27">
        <v>2000</v>
      </c>
      <c r="Q30" s="25">
        <v>0</v>
      </c>
      <c r="R30" s="28">
        <f t="shared" si="24"/>
        <v>2000</v>
      </c>
      <c r="S30" s="27">
        <f t="shared" si="2"/>
        <v>1000</v>
      </c>
      <c r="T30" s="29">
        <f t="shared" si="3"/>
        <v>2000</v>
      </c>
      <c r="U30" s="25" t="str">
        <f t="shared" si="4"/>
        <v>0</v>
      </c>
      <c r="V30" s="25" t="str">
        <f t="shared" si="5"/>
        <v>0</v>
      </c>
      <c r="W30" s="25" t="str">
        <f t="shared" si="6"/>
        <v>0</v>
      </c>
      <c r="X30" s="25">
        <f t="shared" si="7"/>
        <v>2000</v>
      </c>
      <c r="Y30" s="25" t="str">
        <f t="shared" si="8"/>
        <v>0</v>
      </c>
      <c r="Z30" s="25"/>
      <c r="AA30" s="25">
        <f t="shared" si="20"/>
        <v>0</v>
      </c>
      <c r="AB30" s="25">
        <f t="shared" si="9"/>
        <v>0</v>
      </c>
      <c r="AC30" s="25">
        <f t="shared" si="10"/>
        <v>0</v>
      </c>
      <c r="AD30" s="25">
        <f t="shared" si="11"/>
        <v>0</v>
      </c>
      <c r="AE30" s="25">
        <f t="shared" si="12"/>
        <v>0</v>
      </c>
      <c r="AF30" s="25">
        <f t="shared" si="13"/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2000</v>
      </c>
      <c r="AX30" s="22">
        <v>0</v>
      </c>
      <c r="AY30" s="22">
        <v>0</v>
      </c>
      <c r="AZ30" s="22">
        <v>1000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f t="shared" si="14"/>
        <v>0</v>
      </c>
      <c r="BL30" s="22">
        <f t="shared" si="15"/>
        <v>0</v>
      </c>
      <c r="BM30" s="22">
        <f t="shared" si="16"/>
        <v>2000</v>
      </c>
      <c r="BN30" s="22">
        <f t="shared" si="17"/>
        <v>1000</v>
      </c>
      <c r="BO30" s="22">
        <f t="shared" si="18"/>
        <v>0</v>
      </c>
    </row>
    <row r="31" s="2" customFormat="1" ht="20.25" customHeight="1" spans="1:67">
      <c r="A31" s="22" t="s">
        <v>79</v>
      </c>
      <c r="B31" s="22" t="s">
        <v>27</v>
      </c>
      <c r="C31" s="22" t="s">
        <v>41</v>
      </c>
      <c r="D31" s="23" t="s">
        <v>36</v>
      </c>
      <c r="E31" s="36">
        <v>616806</v>
      </c>
      <c r="F31" s="24" t="s">
        <v>125</v>
      </c>
      <c r="G31" s="24" t="s">
        <v>81</v>
      </c>
      <c r="H31" s="25">
        <v>99.5</v>
      </c>
      <c r="I31" s="37"/>
      <c r="J31" s="25">
        <v>0</v>
      </c>
      <c r="K31" s="25">
        <f t="shared" si="0"/>
        <v>5000</v>
      </c>
      <c r="L31" s="25">
        <f t="shared" si="19"/>
        <v>5000</v>
      </c>
      <c r="M31" s="25">
        <v>0</v>
      </c>
      <c r="N31" s="25">
        <v>0</v>
      </c>
      <c r="O31" s="25">
        <v>3000</v>
      </c>
      <c r="P31" s="27">
        <v>0</v>
      </c>
      <c r="Q31" s="25">
        <v>0</v>
      </c>
      <c r="R31" s="28">
        <f t="shared" ref="R31:R33" si="25">SUM(M31:Q31)</f>
        <v>3000</v>
      </c>
      <c r="S31" s="27">
        <f t="shared" si="2"/>
        <v>2000</v>
      </c>
      <c r="T31" s="29">
        <f t="shared" si="3"/>
        <v>3000</v>
      </c>
      <c r="U31" s="25" t="str">
        <f t="shared" si="4"/>
        <v>0</v>
      </c>
      <c r="V31" s="25" t="str">
        <f t="shared" si="5"/>
        <v>0</v>
      </c>
      <c r="W31" s="25">
        <f t="shared" si="6"/>
        <v>3000</v>
      </c>
      <c r="X31" s="25" t="str">
        <f t="shared" si="7"/>
        <v>0</v>
      </c>
      <c r="Y31" s="25" t="str">
        <f t="shared" si="8"/>
        <v>0</v>
      </c>
      <c r="Z31" s="25"/>
      <c r="AA31" s="25">
        <f t="shared" si="20"/>
        <v>0</v>
      </c>
      <c r="AB31" s="25">
        <f t="shared" si="9"/>
        <v>0</v>
      </c>
      <c r="AC31" s="25">
        <f t="shared" si="10"/>
        <v>0</v>
      </c>
      <c r="AD31" s="25">
        <f t="shared" si="11"/>
        <v>0</v>
      </c>
      <c r="AE31" s="25">
        <f t="shared" si="12"/>
        <v>0</v>
      </c>
      <c r="AF31" s="25">
        <f t="shared" si="13"/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1000</v>
      </c>
      <c r="BF31" s="22">
        <v>2000</v>
      </c>
      <c r="BG31" s="22">
        <v>2000</v>
      </c>
      <c r="BH31" s="22">
        <v>0</v>
      </c>
      <c r="BI31" s="22">
        <v>0</v>
      </c>
      <c r="BJ31" s="22">
        <v>0</v>
      </c>
      <c r="BK31" s="22">
        <f t="shared" si="14"/>
        <v>0</v>
      </c>
      <c r="BL31" s="22">
        <f t="shared" si="15"/>
        <v>0</v>
      </c>
      <c r="BM31" s="22">
        <f t="shared" si="16"/>
        <v>0</v>
      </c>
      <c r="BN31" s="22">
        <f t="shared" si="17"/>
        <v>1000</v>
      </c>
      <c r="BO31" s="22">
        <f t="shared" si="18"/>
        <v>4000</v>
      </c>
    </row>
    <row r="32" s="2" customFormat="1" ht="20.25" customHeight="1" spans="1:67">
      <c r="A32" s="22" t="s">
        <v>79</v>
      </c>
      <c r="B32" s="22" t="s">
        <v>27</v>
      </c>
      <c r="C32" s="22" t="s">
        <v>41</v>
      </c>
      <c r="D32" s="23" t="s">
        <v>36</v>
      </c>
      <c r="E32" s="36">
        <v>616777</v>
      </c>
      <c r="F32" s="24" t="s">
        <v>126</v>
      </c>
      <c r="G32" s="24" t="s">
        <v>111</v>
      </c>
      <c r="H32" s="25">
        <v>6.7</v>
      </c>
      <c r="I32" s="26"/>
      <c r="J32" s="25">
        <v>0</v>
      </c>
      <c r="K32" s="25">
        <f t="shared" si="0"/>
        <v>199784</v>
      </c>
      <c r="L32" s="25">
        <f t="shared" si="19"/>
        <v>199784</v>
      </c>
      <c r="M32" s="25">
        <v>0</v>
      </c>
      <c r="N32" s="25">
        <v>0</v>
      </c>
      <c r="O32" s="25">
        <v>0</v>
      </c>
      <c r="P32" s="27">
        <v>0</v>
      </c>
      <c r="Q32" s="25">
        <v>200000</v>
      </c>
      <c r="R32" s="28">
        <f t="shared" si="25"/>
        <v>200000</v>
      </c>
      <c r="S32" s="27">
        <f t="shared" si="2"/>
        <v>-216</v>
      </c>
      <c r="T32" s="29">
        <f t="shared" si="3"/>
        <v>199784</v>
      </c>
      <c r="U32" s="25" t="str">
        <f t="shared" si="4"/>
        <v>0</v>
      </c>
      <c r="V32" s="25" t="str">
        <f t="shared" si="5"/>
        <v>0</v>
      </c>
      <c r="W32" s="25" t="str">
        <f t="shared" si="6"/>
        <v>0</v>
      </c>
      <c r="X32" s="25" t="str">
        <f t="shared" si="7"/>
        <v>0</v>
      </c>
      <c r="Y32" s="25">
        <f t="shared" si="8"/>
        <v>199784</v>
      </c>
      <c r="Z32" s="25"/>
      <c r="AA32" s="25">
        <f t="shared" si="20"/>
        <v>-216</v>
      </c>
      <c r="AB32" s="25">
        <f t="shared" si="9"/>
        <v>0</v>
      </c>
      <c r="AC32" s="25">
        <f t="shared" si="10"/>
        <v>0</v>
      </c>
      <c r="AD32" s="25">
        <f t="shared" si="11"/>
        <v>0</v>
      </c>
      <c r="AE32" s="25">
        <f t="shared" si="12"/>
        <v>0</v>
      </c>
      <c r="AF32" s="25">
        <f t="shared" si="13"/>
        <v>-216</v>
      </c>
      <c r="AG32" s="22">
        <v>17820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6964</v>
      </c>
      <c r="AN32" s="22">
        <v>0</v>
      </c>
      <c r="AO32" s="22">
        <v>15000</v>
      </c>
      <c r="AP32" s="22">
        <v>0</v>
      </c>
      <c r="AQ32" s="22">
        <v>20000</v>
      </c>
      <c r="AR32" s="22">
        <v>0</v>
      </c>
      <c r="AS32" s="22">
        <v>0</v>
      </c>
      <c r="AT32" s="22">
        <v>20000</v>
      </c>
      <c r="AU32" s="22">
        <v>0</v>
      </c>
      <c r="AV32" s="22">
        <v>20000</v>
      </c>
      <c r="AW32" s="22">
        <v>0</v>
      </c>
      <c r="AX32" s="22">
        <v>20000</v>
      </c>
      <c r="AY32" s="22">
        <v>0</v>
      </c>
      <c r="AZ32" s="22">
        <v>20000</v>
      </c>
      <c r="BA32" s="22">
        <v>0</v>
      </c>
      <c r="BB32" s="22">
        <v>20000</v>
      </c>
      <c r="BC32" s="22">
        <v>0</v>
      </c>
      <c r="BD32" s="22">
        <v>20000</v>
      </c>
      <c r="BE32" s="22">
        <v>0</v>
      </c>
      <c r="BF32" s="22">
        <v>0</v>
      </c>
      <c r="BG32" s="22">
        <v>20000</v>
      </c>
      <c r="BH32" s="22">
        <v>0</v>
      </c>
      <c r="BI32" s="22">
        <v>0</v>
      </c>
      <c r="BJ32" s="22">
        <v>0</v>
      </c>
      <c r="BK32" s="22">
        <f t="shared" si="14"/>
        <v>17820</v>
      </c>
      <c r="BL32" s="22">
        <f t="shared" si="15"/>
        <v>41964</v>
      </c>
      <c r="BM32" s="22">
        <f t="shared" si="16"/>
        <v>60000</v>
      </c>
      <c r="BN32" s="22">
        <f t="shared" si="17"/>
        <v>60000</v>
      </c>
      <c r="BO32" s="22">
        <f t="shared" si="18"/>
        <v>20000</v>
      </c>
    </row>
    <row r="33" s="2" customFormat="1" ht="20.25" customHeight="1" spans="1:67">
      <c r="A33" s="22" t="s">
        <v>79</v>
      </c>
      <c r="B33" s="22" t="s">
        <v>27</v>
      </c>
      <c r="C33" s="22" t="s">
        <v>41</v>
      </c>
      <c r="D33" s="23" t="s">
        <v>36</v>
      </c>
      <c r="E33" s="36" t="s">
        <v>127</v>
      </c>
      <c r="F33" s="24" t="s">
        <v>128</v>
      </c>
      <c r="G33" s="24" t="s">
        <v>111</v>
      </c>
      <c r="H33" s="25">
        <v>6.7</v>
      </c>
      <c r="I33" s="26"/>
      <c r="J33" s="25">
        <v>0</v>
      </c>
      <c r="K33" s="25">
        <f t="shared" si="0"/>
        <v>100216</v>
      </c>
      <c r="L33" s="25">
        <f t="shared" si="19"/>
        <v>100216</v>
      </c>
      <c r="M33" s="25">
        <v>0</v>
      </c>
      <c r="N33" s="25">
        <v>0</v>
      </c>
      <c r="O33" s="25">
        <v>0</v>
      </c>
      <c r="P33" s="27">
        <v>0</v>
      </c>
      <c r="Q33" s="25">
        <v>100000</v>
      </c>
      <c r="R33" s="28">
        <f t="shared" si="25"/>
        <v>100000</v>
      </c>
      <c r="S33" s="27">
        <f t="shared" si="2"/>
        <v>216</v>
      </c>
      <c r="T33" s="29">
        <f t="shared" si="3"/>
        <v>100000</v>
      </c>
      <c r="U33" s="25" t="str">
        <f t="shared" si="4"/>
        <v>0</v>
      </c>
      <c r="V33" s="25" t="str">
        <f t="shared" si="5"/>
        <v>0</v>
      </c>
      <c r="W33" s="25" t="str">
        <f t="shared" si="6"/>
        <v>0</v>
      </c>
      <c r="X33" s="25" t="str">
        <f t="shared" si="7"/>
        <v>0</v>
      </c>
      <c r="Y33" s="25">
        <f t="shared" si="8"/>
        <v>100000</v>
      </c>
      <c r="Z33" s="25"/>
      <c r="AA33" s="25">
        <f t="shared" si="20"/>
        <v>0</v>
      </c>
      <c r="AB33" s="25">
        <f t="shared" si="9"/>
        <v>0</v>
      </c>
      <c r="AC33" s="25">
        <f t="shared" si="10"/>
        <v>0</v>
      </c>
      <c r="AD33" s="25">
        <f t="shared" si="11"/>
        <v>0</v>
      </c>
      <c r="AE33" s="25">
        <f t="shared" si="12"/>
        <v>0</v>
      </c>
      <c r="AF33" s="25">
        <f t="shared" si="13"/>
        <v>0</v>
      </c>
      <c r="AG33" s="22">
        <v>9036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5000</v>
      </c>
      <c r="AN33" s="22">
        <v>0</v>
      </c>
      <c r="AO33" s="22">
        <v>7500</v>
      </c>
      <c r="AP33" s="22">
        <v>0</v>
      </c>
      <c r="AQ33" s="22">
        <v>8680</v>
      </c>
      <c r="AR33" s="22">
        <v>0</v>
      </c>
      <c r="AS33" s="22">
        <v>0</v>
      </c>
      <c r="AT33" s="22">
        <v>10000</v>
      </c>
      <c r="AU33" s="22">
        <v>0</v>
      </c>
      <c r="AV33" s="22">
        <v>10000</v>
      </c>
      <c r="AW33" s="22">
        <v>0</v>
      </c>
      <c r="AX33" s="22">
        <v>10000</v>
      </c>
      <c r="AY33" s="22">
        <v>0</v>
      </c>
      <c r="AZ33" s="22">
        <v>10000</v>
      </c>
      <c r="BA33" s="22">
        <v>0</v>
      </c>
      <c r="BB33" s="22">
        <v>10000</v>
      </c>
      <c r="BC33" s="22">
        <v>0</v>
      </c>
      <c r="BD33" s="22">
        <v>10000</v>
      </c>
      <c r="BE33" s="22">
        <v>0</v>
      </c>
      <c r="BF33" s="22">
        <v>0</v>
      </c>
      <c r="BG33" s="22">
        <v>10000</v>
      </c>
      <c r="BH33" s="22">
        <v>0</v>
      </c>
      <c r="BI33" s="22">
        <v>0</v>
      </c>
      <c r="BJ33" s="22">
        <v>0</v>
      </c>
      <c r="BK33" s="22">
        <f t="shared" si="14"/>
        <v>9036</v>
      </c>
      <c r="BL33" s="22">
        <f t="shared" si="15"/>
        <v>21180</v>
      </c>
      <c r="BM33" s="22">
        <f t="shared" si="16"/>
        <v>30000</v>
      </c>
      <c r="BN33" s="22">
        <f t="shared" si="17"/>
        <v>30000</v>
      </c>
      <c r="BO33" s="22">
        <f t="shared" si="18"/>
        <v>10000</v>
      </c>
    </row>
  </sheetData>
  <conditionalFormatting sqref="E1">
    <cfRule type="duplicateValues" dxfId="0" priority="10873"/>
  </conditionalFormatting>
  <conditionalFormatting sqref="E21">
    <cfRule type="duplicateValues" dxfId="0" priority="17"/>
  </conditionalFormatting>
  <conditionalFormatting sqref="E22">
    <cfRule type="duplicateValues" dxfId="0" priority="16"/>
  </conditionalFormatting>
  <conditionalFormatting sqref="E23">
    <cfRule type="duplicateValues" dxfId="0" priority="12"/>
    <cfRule type="duplicateValues" dxfId="0" priority="13"/>
    <cfRule type="duplicateValues" dxfId="0" priority="14"/>
    <cfRule type="duplicateValues" dxfId="0" priority="15"/>
  </conditionalFormatting>
  <conditionalFormatting sqref="E2:E9">
    <cfRule type="duplicateValues" dxfId="0" priority="11212"/>
    <cfRule type="duplicateValues" dxfId="0" priority="11213"/>
  </conditionalFormatting>
  <conditionalFormatting sqref="E24:E25">
    <cfRule type="duplicateValues" dxfId="0" priority="8"/>
    <cfRule type="duplicateValues" dxfId="0" priority="9"/>
    <cfRule type="duplicateValues" dxfId="0" priority="10"/>
    <cfRule type="duplicateValues" dxfId="0" priority="11"/>
  </conditionalFormatting>
  <conditionalFormatting sqref="E26:E33">
    <cfRule type="duplicateValues" dxfId="0" priority="11179"/>
  </conditionalFormatting>
  <conditionalFormatting sqref="E1 E10:E22 E26:E33">
    <cfRule type="duplicateValues" dxfId="0" priority="11211"/>
  </conditionalFormatting>
  <conditionalFormatting sqref="E10:E22 E26:E33">
    <cfRule type="duplicateValues" dxfId="0" priority="1114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对话问题</vt:lpstr>
      <vt:lpstr>预测及排期汇总表</vt:lpstr>
      <vt:lpstr>预测及排期明细表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李明英</dc:creator>
  <cp:lastModifiedBy>WPS_1178250020</cp:lastModifiedBy>
  <dcterms:created xsi:type="dcterms:W3CDTF">2006-09-16T08:00:00Z</dcterms:created>
  <dcterms:modified xsi:type="dcterms:W3CDTF">2026-06-15T03:17:07Z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39B97E114EC84E769EEDCDD2A7E6D0C7_13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